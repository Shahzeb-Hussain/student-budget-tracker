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ransactions" sheetId="2" state="visible" r:id="rId4"/>
    <sheet name="Lookup" sheetId="3" state="visible" r:id="rId5"/>
    <sheet name="Savings" sheetId="4" state="visible" r:id="rId6"/>
    <sheet name="Categori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<sst xmlns="http://schemas.openxmlformats.org/spreadsheetml/2006/main" count="324" uniqueCount="118">
  <si>
    <t xml:space="preserve">🏦  MR SHAHZEB HUSSAIN — CAPITEC STATEMENT TRACKER</t>
  </si>
  <si>
    <t xml:space="preserve">01 April 2026 → 13 May 2026  |  Account: 2281843307</t>
  </si>
  <si>
    <t xml:space="preserve">ACCOUNT OVERVIEW</t>
  </si>
  <si>
    <t xml:space="preserve">💰 Opening Balance</t>
  </si>
  <si>
    <t xml:space="preserve">📉 Closing Balance</t>
  </si>
  <si>
    <t xml:space="preserve">✅ Available Balance</t>
  </si>
  <si>
    <t xml:space="preserve">R2 055.25</t>
  </si>
  <si>
    <t xml:space="preserve">R1 932.72</t>
  </si>
  <si>
    <t xml:space="preserve">R1 770.72</t>
  </si>
  <si>
    <t xml:space="preserve">MONEY IN vs MONEY OUT</t>
  </si>
  <si>
    <t xml:space="preserve">Money In</t>
  </si>
  <si>
    <t xml:space="preserve">Money Out (excl. fees)</t>
  </si>
  <si>
    <t xml:space="preserve">SPENDING ANALYSIS BY CATEGORY  (XLOOKUP — live from Transactions)</t>
  </si>
  <si>
    <t xml:space="preserve">Category</t>
  </si>
  <si>
    <t xml:space="preserve">Spent (R)</t>
  </si>
  <si>
    <t xml:space="preserve">Limit (R)</t>
  </si>
  <si>
    <t xml:space="preserve">Remaining (R)</t>
  </si>
  <si>
    <t xml:space="preserve">% Used</t>
  </si>
  <si>
    <t xml:space="preserve">Status</t>
  </si>
  <si>
    <t xml:space="preserve">Takeaways</t>
  </si>
  <si>
    <t xml:space="preserve">Groceries</t>
  </si>
  <si>
    <t xml:space="preserve">Public Transport</t>
  </si>
  <si>
    <t xml:space="preserve">Cellphone</t>
  </si>
  <si>
    <t xml:space="preserve">Movies</t>
  </si>
  <si>
    <t xml:space="preserve">Restaurants</t>
  </si>
  <si>
    <t xml:space="preserve">Online Store</t>
  </si>
  <si>
    <t xml:space="preserve">Digital Payments</t>
  </si>
  <si>
    <t xml:space="preserve">Gifts</t>
  </si>
  <si>
    <t xml:space="preserve">Sport &amp; Hobbies</t>
  </si>
  <si>
    <t xml:space="preserve">Telephone</t>
  </si>
  <si>
    <t xml:space="preserve">Personal Care</t>
  </si>
  <si>
    <t xml:space="preserve">Fuel</t>
  </si>
  <si>
    <t xml:space="preserve">Fees</t>
  </si>
  <si>
    <t xml:space="preserve">Uncategorised</t>
  </si>
  <si>
    <t xml:space="preserve">Transfer</t>
  </si>
  <si>
    <t xml:space="preserve">QUICK STATS</t>
  </si>
  <si>
    <t xml:space="preserve">Total Transactions</t>
  </si>
  <si>
    <t xml:space="preserve">Total Fees Paid</t>
  </si>
  <si>
    <t xml:space="preserve">Largest Spend</t>
  </si>
  <si>
    <t xml:space="preserve">Avg Daily Spend</t>
  </si>
  <si>
    <t xml:space="preserve">💡 All formulas are live — add transactions to the Transactions sheet and everything updates automatically. Blue = your inputs.</t>
  </si>
  <si>
    <t xml:space="preserve">Date</t>
  </si>
  <si>
    <t xml:space="preserve">Description</t>
  </si>
  <si>
    <t xml:space="preserve">Type</t>
  </si>
  <si>
    <t xml:space="preserve">Money In (R)</t>
  </si>
  <si>
    <t xml:space="preserve">Fee (R)</t>
  </si>
  <si>
    <t xml:space="preserve">Money Out (R)</t>
  </si>
  <si>
    <t xml:space="preserve">Balance (R)</t>
  </si>
  <si>
    <t xml:space="preserve">Budget Limit (R)</t>
  </si>
  <si>
    <t xml:space="preserve">Checkers Sb083793 (Card 9654)</t>
  </si>
  <si>
    <t xml:space="preserve">Card</t>
  </si>
  <si>
    <t xml:space="preserve">Cracker Zacs - Gaap/S Johannesburg</t>
  </si>
  <si>
    <t xml:space="preserve">Lush South Africa Johannesburg</t>
  </si>
  <si>
    <t xml:space="preserve">Simply Asia Rosebank</t>
  </si>
  <si>
    <t xml:space="preserve">Clicks Johannesburg</t>
  </si>
  <si>
    <t xml:space="preserve">Live Better Round-up Transfer</t>
  </si>
  <si>
    <t xml:space="preserve">Payment Received: M Ahmed</t>
  </si>
  <si>
    <t xml:space="preserve">Income</t>
  </si>
  <si>
    <t xml:space="preserve">Other Income</t>
  </si>
  <si>
    <t xml:space="preserve">Shell Benoni (Card 9654)</t>
  </si>
  <si>
    <t xml:space="preserve">Recurring Card Purchase: Uber Parktown</t>
  </si>
  <si>
    <t xml:space="preserve">Dubai Cafe Boksburg</t>
  </si>
  <si>
    <t xml:space="preserve">Recurring Card Purchase: DI Bolt Maitland</t>
  </si>
  <si>
    <t xml:space="preserve">Thatfoodplace Boksburg</t>
  </si>
  <si>
    <t xml:space="preserve">Pick n Pay Express Benoni</t>
  </si>
  <si>
    <t xml:space="preserve">Main Event Ca Johannesburg</t>
  </si>
  <si>
    <t xml:space="preserve">Banking App Prepaid: Telkom Mobile</t>
  </si>
  <si>
    <t xml:space="preserve">Prepaid</t>
  </si>
  <si>
    <t xml:space="preserve">Payment Received: Absa Bank Mummy</t>
  </si>
  <si>
    <t xml:space="preserve">Banking App Prepaid: Telkom</t>
  </si>
  <si>
    <t xml:space="preserve">Card Purchase Insufficient Funds Fee</t>
  </si>
  <si>
    <t xml:space="preserve">Fee</t>
  </si>
  <si>
    <t xml:space="preserve">Transfer from Live Better Savings (2281845377)</t>
  </si>
  <si>
    <t xml:space="preserve">Payment Received: M Hussain</t>
  </si>
  <si>
    <t xml:space="preserve">Cash Deposit: Boksburg East R3</t>
  </si>
  <si>
    <t xml:space="preserve">Deposit</t>
  </si>
  <si>
    <t xml:space="preserve">Cash Deposit</t>
  </si>
  <si>
    <t xml:space="preserve">External Payment: Mohammed Akeil Hussa</t>
  </si>
  <si>
    <t xml:space="preserve">EFT</t>
  </si>
  <si>
    <t xml:space="preserve">SMS Payment Notification Fee</t>
  </si>
  <si>
    <t xml:space="preserve">Recurring Card Purchase: Rain Cape Town</t>
  </si>
  <si>
    <t xml:space="preserve">Immediate Payment: Mr Sohaib Equba</t>
  </si>
  <si>
    <t xml:space="preserve">Banking App Prepaid: Vodacom</t>
  </si>
  <si>
    <t xml:space="preserve">Chicken Licken Benoni</t>
  </si>
  <si>
    <t xml:space="preserve">Tenz Express Auckland Park</t>
  </si>
  <si>
    <t xml:space="preserve">McDonalds Auckland Park</t>
  </si>
  <si>
    <t xml:space="preserve">External Payment: Mr. T Malatji</t>
  </si>
  <si>
    <t xml:space="preserve">Online Purchase: Amazon Cape Town</t>
  </si>
  <si>
    <t xml:space="preserve">Online</t>
  </si>
  <si>
    <t xml:space="preserve">Chipworld Johannesburg</t>
  </si>
  <si>
    <t xml:space="preserve">External Payment: S.K. Hussain</t>
  </si>
  <si>
    <t xml:space="preserve">Recurring Card Purchase: DI Uber Parktown</t>
  </si>
  <si>
    <t xml:space="preserve">Intl Purchase Insufficient Funds Fee x2</t>
  </si>
  <si>
    <t xml:space="preserve">Intl Purchase Insufficient Funds Fee</t>
  </si>
  <si>
    <t xml:space="preserve">Transfer from Live Better Savings</t>
  </si>
  <si>
    <t xml:space="preserve">Interest Received</t>
  </si>
  <si>
    <t xml:space="preserve">Interest</t>
  </si>
  <si>
    <t xml:space="preserve">Monthly Account Admin Fee</t>
  </si>
  <si>
    <t xml:space="preserve">Recurring Card Purchase: Google London</t>
  </si>
  <si>
    <t xml:space="preserve">Cash Deposit: Boksburg East P</t>
  </si>
  <si>
    <t xml:space="preserve">Online Purchase: Ster Kinekor Sandton</t>
  </si>
  <si>
    <t xml:space="preserve">Romans Pizza Benoni</t>
  </si>
  <si>
    <t xml:space="preserve">Sugar And Spi Boksburg</t>
  </si>
  <si>
    <t xml:space="preserve">Cinnabon Johannesburg</t>
  </si>
  <si>
    <t xml:space="preserve">Ster Kinekor Rosebank</t>
  </si>
  <si>
    <t xml:space="preserve">Limit</t>
  </si>
  <si>
    <t xml:space="preserve">SAVINGS TRACKER</t>
  </si>
  <si>
    <t xml:space="preserve">Goal</t>
  </si>
  <si>
    <t xml:space="preserve">Target (R)</t>
  </si>
  <si>
    <t xml:space="preserve">Current (R)</t>
  </si>
  <si>
    <t xml:space="preserve">Progress %</t>
  </si>
  <si>
    <t xml:space="preserve">Laptop</t>
  </si>
  <si>
    <t xml:space="preserve">Vacation</t>
  </si>
  <si>
    <t xml:space="preserve">Emergency Fund</t>
  </si>
  <si>
    <t xml:space="preserve">New Phone</t>
  </si>
  <si>
    <t xml:space="preserve">Books/Study</t>
  </si>
  <si>
    <t xml:space="preserve">Monthly Limit (R)</t>
  </si>
  <si>
    <t xml:space="preserve">Actual Spend (R)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</si>
</sst>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%"/>
    <numFmt numFmtId="167" formatCode="0"/>
    <numFmt numFmtId="168" formatCode="yyyy/mm/dd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1F5C2E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4"/>
      <color rgb="FF008000"/>
      <name val="Arial"/>
      <family val="0"/>
      <charset val="1"/>
    </font>
    <font>
      <b val="true"/>
      <sz val="14"/>
      <color rgb="FFCC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3"/>
      <color rgb="FF1F5C2E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5C2E"/>
        <bgColor rgb="FF006400"/>
      </patternFill>
    </fill>
    <fill>
      <patternFill patternType="solid">
        <fgColor rgb="FFE8F5E9"/>
        <bgColor rgb="FFF1F8E9"/>
      </patternFill>
    </fill>
    <fill>
      <patternFill patternType="solid">
        <fgColor rgb="FF2E7D32"/>
        <bgColor rgb="FF1F5C2E"/>
      </patternFill>
    </fill>
    <fill>
      <patternFill patternType="solid">
        <fgColor rgb="FFFFF9C4"/>
        <bgColor rgb="FFFFF3CD"/>
      </patternFill>
    </fill>
    <fill>
      <patternFill patternType="solid">
        <fgColor rgb="FFC8E6C9"/>
        <bgColor rgb="FFCCCCCC"/>
      </patternFill>
    </fill>
    <fill>
      <patternFill patternType="solid">
        <fgColor rgb="FFFFCDD2"/>
        <bgColor rgb="FFCCCCCC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1F8E9"/>
      </patternFill>
    </fill>
    <fill>
      <patternFill patternType="solid">
        <fgColor rgb="FFF1F8E9"/>
        <bgColor rgb="FFF5F5F5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888888"/>
      </left>
      <right/>
      <top style="medium">
        <color rgb="FF888888"/>
      </top>
      <bottom style="medium">
        <color rgb="FF888888"/>
      </bottom>
      <diagonal/>
    </border>
    <border diagonalUp="false" diagonalDown="false">
      <left style="medium">
        <color rgb="FF888888"/>
      </left>
      <right/>
      <top style="medium">
        <color rgb="FF888888"/>
      </top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006400"/>
      </left>
      <right style="medium">
        <color rgb="FF006400"/>
      </right>
      <top style="medium">
        <color rgb="FF006400"/>
      </top>
      <bottom style="medium">
        <color rgb="FF0064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8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9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CDD2"/>
        </patternFill>
      </fill>
    </dxf>
    <dxf>
      <fill>
        <patternFill>
          <bgColor rgb="FFFFF3CD"/>
        </patternFill>
      </fill>
    </dxf>
    <dxf>
      <fill>
        <patternFill>
          <bgColor rgb="FFA5D6A7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9C4"/>
      <rgbColor rgb="FFE8F5E9"/>
      <rgbColor rgb="FF660066"/>
      <rgbColor rgb="FFFF8080"/>
      <rgbColor rgb="FF0066CC"/>
      <rgbColor rgb="FFF5F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8E9"/>
      <rgbColor rgb="FFC8E6C9"/>
      <rgbColor rgb="FFFFF3CD"/>
      <rgbColor rgb="FFA5D6A7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2E7D32"/>
      <rgbColor rgb="FF006400"/>
      <rgbColor rgb="FF1F5C2E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6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8" min="3" style="0" width="20"/>
  </cols>
  <sheetData>
    <row r="1" customFormat="false" ht="18" hidden="false" customHeight="true" outlineLevel="0" collapsed="false">
      <c r="B1" s="1" t="s">
        <v>0</v>
      </c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B2" s="2" t="s">
        <v>1</v>
      </c>
      <c r="C2" s="2"/>
      <c r="D2" s="2"/>
      <c r="E2" s="2"/>
      <c r="F2" s="2"/>
      <c r="G2" s="2"/>
      <c r="H2" s="2"/>
    </row>
    <row r="3" customFormat="false" ht="18" hidden="false" customHeight="true" outlineLevel="0" collapsed="false"/>
    <row r="4" customFormat="false" ht="18" hidden="false" customHeight="true" outlineLevel="0" collapsed="false">
      <c r="B4" s="3" t="s">
        <v>2</v>
      </c>
      <c r="C4" s="3"/>
      <c r="D4" s="3"/>
      <c r="E4" s="3"/>
      <c r="F4" s="3"/>
      <c r="G4" s="3"/>
      <c r="H4" s="3"/>
    </row>
    <row r="5" customFormat="false" ht="18" hidden="false" customHeight="true" outlineLevel="0" collapsed="false">
      <c r="B5" s="4" t="s">
        <v>3</v>
      </c>
      <c r="C5" s="4"/>
      <c r="D5" s="4" t="s">
        <v>4</v>
      </c>
      <c r="E5" s="4"/>
      <c r="F5" s="4" t="s">
        <v>5</v>
      </c>
      <c r="G5" s="4"/>
    </row>
    <row r="6" customFormat="false" ht="18" hidden="false" customHeight="true" outlineLevel="0" collapsed="false">
      <c r="B6" s="5" t="s">
        <v>6</v>
      </c>
      <c r="C6" s="5"/>
      <c r="D6" s="5" t="s">
        <v>7</v>
      </c>
      <c r="E6" s="5"/>
      <c r="F6" s="5" t="s">
        <v>8</v>
      </c>
      <c r="G6" s="5"/>
    </row>
    <row r="7" customFormat="false" ht="18" hidden="false" customHeight="true" outlineLevel="0" collapsed="false">
      <c r="B7" s="5"/>
      <c r="C7" s="5"/>
      <c r="D7" s="5"/>
      <c r="E7" s="5"/>
      <c r="F7" s="5"/>
      <c r="G7" s="5"/>
    </row>
    <row r="8" customFormat="false" ht="18" hidden="false" customHeight="true" outlineLevel="0" collapsed="false"/>
    <row r="9" customFormat="false" ht="18" hidden="false" customHeight="true" outlineLevel="0" collapsed="false">
      <c r="B9" s="3" t="s">
        <v>9</v>
      </c>
      <c r="C9" s="3"/>
      <c r="D9" s="3"/>
      <c r="E9" s="3"/>
      <c r="F9" s="3"/>
      <c r="G9" s="3"/>
      <c r="H9" s="3"/>
    </row>
    <row r="10" customFormat="false" ht="18" hidden="false" customHeight="true" outlineLevel="0" collapsed="false">
      <c r="B10" s="6" t="s">
        <v>10</v>
      </c>
      <c r="C10" s="6"/>
      <c r="D10" s="6"/>
      <c r="E10" s="7" t="s">
        <v>11</v>
      </c>
      <c r="F10" s="7"/>
      <c r="G10" s="7"/>
      <c r="H10" s="7"/>
    </row>
    <row r="11" customFormat="false" ht="18" hidden="false" customHeight="true" outlineLevel="0" collapsed="false">
      <c r="B11" s="8" t="n">
        <f aca="false">IFERROR(SUMIF(Transactions!C:C,"Income",Transactions!D:D)+SUMIF(Transactions!C:C,"Deposit",Transactions!D:D)+SUMIF(Transactions!C:C,"Interest",Transactions!D:D)+SUMIF(Transactions!C:C,"Transfer",Transactions!D:D),0)</f>
        <v>5500.13</v>
      </c>
      <c r="C11" s="8"/>
      <c r="D11" s="8"/>
      <c r="E11" s="9" t="n">
        <f aca="false">IFERROR(SUMIF(Transactions!C:C,"Card",Transactions!G:G)+SUMIF(Transactions!C:C,"EFT",Transactions!G:G)+SUMIF(Transactions!C:C,"Online",Transactions!G:G)+SUMIF(Transactions!C:C,"Prepaid",Transactions!G:G),0)</f>
        <v>5431.38</v>
      </c>
      <c r="F11" s="9"/>
      <c r="G11" s="9"/>
      <c r="H11" s="9"/>
    </row>
    <row r="12" customFormat="false" ht="18" hidden="false" customHeight="true" outlineLevel="0" collapsed="false"/>
    <row r="13" customFormat="false" ht="18" hidden="false" customHeight="true" outlineLevel="0" collapsed="false">
      <c r="B13" s="10" t="s">
        <v>12</v>
      </c>
      <c r="C13" s="10"/>
      <c r="D13" s="10"/>
      <c r="E13" s="10"/>
      <c r="F13" s="10"/>
      <c r="G13" s="10"/>
      <c r="H13" s="10"/>
    </row>
    <row r="14" customFormat="false" ht="18" hidden="false" customHeight="true" outlineLevel="0" collapsed="false">
      <c r="B14" s="11" t="s">
        <v>13</v>
      </c>
      <c r="C14" s="11" t="s">
        <v>14</v>
      </c>
      <c r="D14" s="11" t="s">
        <v>15</v>
      </c>
      <c r="E14" s="11" t="s">
        <v>16</v>
      </c>
      <c r="F14" s="11" t="s">
        <v>17</v>
      </c>
      <c r="G14" s="11" t="s">
        <v>18</v>
      </c>
    </row>
    <row r="15" customFormat="false" ht="18" hidden="false" customHeight="true" outlineLevel="0" collapsed="false">
      <c r="B15" s="12" t="s">
        <v>19</v>
      </c>
      <c r="C15" s="13" t="n">
        <f aca="false">IFERROR(SUMIF(Transactions!E:E,B15,Transactions!G:G),0)</f>
        <v>1015.5</v>
      </c>
      <c r="D15" s="13" t="n">
        <f aca="false">IFERROR(xlookup(B15,Categories!$A$2:$A$20,Categories!$B$2:$B$20,0),0)</f>
        <v>0</v>
      </c>
      <c r="E15" s="13" t="n">
        <f aca="false">IFERROR(D15-C15,0)</f>
        <v>-1015.5</v>
      </c>
      <c r="F15" s="14" t="n">
        <f aca="false">IFERROR(C15/D15,0)</f>
        <v>0</v>
      </c>
      <c r="G15" s="15" t="str">
        <f aca="false">IFERROR(IF(D15=0,"N/A",IF(C15&gt;D15,"🔴 Over Budget",IF(C15/D15&gt;0.8,"🟡 Near Limit","✅ On Track"))),"N/A")</f>
        <v>N/A</v>
      </c>
    </row>
    <row r="16" customFormat="false" ht="18" hidden="false" customHeight="true" outlineLevel="0" collapsed="false">
      <c r="B16" s="16" t="s">
        <v>20</v>
      </c>
      <c r="C16" s="17" t="n">
        <f aca="false">IFERROR(SUMIF(Transactions!E:E,B16,Transactions!G:G),0)</f>
        <v>113.5</v>
      </c>
      <c r="D16" s="17" t="n">
        <f aca="false">IFERROR(xlookup(B16,Categories!$A$2:$A$20,Categories!$B$2:$B$20,0),0)</f>
        <v>0</v>
      </c>
      <c r="E16" s="17" t="n">
        <f aca="false">IFERROR(D16-C16,0)</f>
        <v>-113.5</v>
      </c>
      <c r="F16" s="18" t="n">
        <f aca="false">IFERROR(C16/D16,0)</f>
        <v>0</v>
      </c>
      <c r="G16" s="19" t="str">
        <f aca="false">IFERROR(IF(D16=0,"N/A",IF(C16&gt;D16,"🔴 Over Budget",IF(C16/D16&gt;0.8,"🟡 Near Limit","✅ On Track"))),"N/A")</f>
        <v>N/A</v>
      </c>
    </row>
    <row r="17" customFormat="false" ht="18" hidden="false" customHeight="true" outlineLevel="0" collapsed="false">
      <c r="B17" s="12" t="s">
        <v>21</v>
      </c>
      <c r="C17" s="13" t="n">
        <f aca="false">IFERROR(SUMIF(Transactions!E:E,B17,Transactions!G:G),0)</f>
        <v>382</v>
      </c>
      <c r="D17" s="13" t="n">
        <f aca="false">IFERROR(xlookup(B17,Categories!$A$2:$A$20,Categories!$B$2:$B$20,0),0)</f>
        <v>0</v>
      </c>
      <c r="E17" s="13" t="n">
        <f aca="false">IFERROR(D17-C17,0)</f>
        <v>-382</v>
      </c>
      <c r="F17" s="14" t="n">
        <f aca="false">IFERROR(C17/D17,0)</f>
        <v>0</v>
      </c>
      <c r="G17" s="15" t="str">
        <f aca="false">IFERROR(IF(D17=0,"N/A",IF(C17&gt;D17,"🔴 Over Budget",IF(C17/D17&gt;0.8,"🟡 Near Limit","✅ On Track"))),"N/A")</f>
        <v>N/A</v>
      </c>
    </row>
    <row r="18" customFormat="false" ht="18" hidden="false" customHeight="true" outlineLevel="0" collapsed="false">
      <c r="B18" s="16" t="s">
        <v>22</v>
      </c>
      <c r="C18" s="17" t="n">
        <f aca="false">IFERROR(SUMIF(Transactions!E:E,B18,Transactions!G:G),0)</f>
        <v>660</v>
      </c>
      <c r="D18" s="17" t="n">
        <f aca="false">IFERROR(xlookup(B18,Categories!$A$2:$A$20,Categories!$B$2:$B$20,0),0)</f>
        <v>0</v>
      </c>
      <c r="E18" s="17" t="n">
        <f aca="false">IFERROR(D18-C18,0)</f>
        <v>-660</v>
      </c>
      <c r="F18" s="18" t="n">
        <f aca="false">IFERROR(C18/D18,0)</f>
        <v>0</v>
      </c>
      <c r="G18" s="19" t="str">
        <f aca="false">IFERROR(IF(D18=0,"N/A",IF(C18&gt;D18,"🔴 Over Budget",IF(C18/D18&gt;0.8,"🟡 Near Limit","✅ On Track"))),"N/A")</f>
        <v>N/A</v>
      </c>
    </row>
    <row r="19" customFormat="false" ht="18" hidden="false" customHeight="true" outlineLevel="0" collapsed="false">
      <c r="B19" s="12" t="s">
        <v>23</v>
      </c>
      <c r="C19" s="13" t="n">
        <f aca="false">IFERROR(SUMIF(Transactions!E:E,B19,Transactions!G:G),0)</f>
        <v>299.9</v>
      </c>
      <c r="D19" s="13" t="n">
        <f aca="false">IFERROR(xlookup(B19,Categories!$A$2:$A$20,Categories!$B$2:$B$20,0),0)</f>
        <v>0</v>
      </c>
      <c r="E19" s="13" t="n">
        <f aca="false">IFERROR(D19-C19,0)</f>
        <v>-299.9</v>
      </c>
      <c r="F19" s="14" t="n">
        <f aca="false">IFERROR(C19/D19,0)</f>
        <v>0</v>
      </c>
      <c r="G19" s="15" t="str">
        <f aca="false">IFERROR(IF(D19=0,"N/A",IF(C19&gt;D19,"🔴 Over Budget",IF(C19/D19&gt;0.8,"🟡 Near Limit","✅ On Track"))),"N/A")</f>
        <v>N/A</v>
      </c>
    </row>
    <row r="20" customFormat="false" ht="18" hidden="false" customHeight="true" outlineLevel="0" collapsed="false">
      <c r="B20" s="16" t="s">
        <v>24</v>
      </c>
      <c r="C20" s="17" t="n">
        <f aca="false">IFERROR(SUMIF(Transactions!E:E,B20,Transactions!G:G),0)</f>
        <v>199</v>
      </c>
      <c r="D20" s="17" t="n">
        <f aca="false">IFERROR(xlookup(B20,Categories!$A$2:$A$20,Categories!$B$2:$B$20,0),0)</f>
        <v>0</v>
      </c>
      <c r="E20" s="17" t="n">
        <f aca="false">IFERROR(D20-C20,0)</f>
        <v>-199</v>
      </c>
      <c r="F20" s="18" t="n">
        <f aca="false">IFERROR(C20/D20,0)</f>
        <v>0</v>
      </c>
      <c r="G20" s="19" t="str">
        <f aca="false">IFERROR(IF(D20=0,"N/A",IF(C20&gt;D20,"🔴 Over Budget",IF(C20/D20&gt;0.8,"🟡 Near Limit","✅ On Track"))),"N/A")</f>
        <v>N/A</v>
      </c>
    </row>
    <row r="21" customFormat="false" ht="18" hidden="false" customHeight="true" outlineLevel="0" collapsed="false">
      <c r="B21" s="12" t="s">
        <v>25</v>
      </c>
      <c r="C21" s="13" t="n">
        <f aca="false">IFERROR(SUMIF(Transactions!E:E,B21,Transactions!G:G),0)</f>
        <v>130.99</v>
      </c>
      <c r="D21" s="13" t="n">
        <f aca="false">IFERROR(xlookup(B21,Categories!$A$2:$A$20,Categories!$B$2:$B$20,0),0)</f>
        <v>0</v>
      </c>
      <c r="E21" s="13" t="n">
        <f aca="false">IFERROR(D21-C21,0)</f>
        <v>-130.99</v>
      </c>
      <c r="F21" s="14" t="n">
        <f aca="false">IFERROR(C21/D21,0)</f>
        <v>0</v>
      </c>
      <c r="G21" s="15" t="str">
        <f aca="false">IFERROR(IF(D21=0,"N/A",IF(C21&gt;D21,"🔴 Over Budget",IF(C21/D21&gt;0.8,"🟡 Near Limit","✅ On Track"))),"N/A")</f>
        <v>N/A</v>
      </c>
    </row>
    <row r="22" customFormat="false" ht="18" hidden="false" customHeight="true" outlineLevel="0" collapsed="false">
      <c r="B22" s="16" t="s">
        <v>26</v>
      </c>
      <c r="C22" s="17" t="n">
        <f aca="false">IFERROR(SUMIF(Transactions!E:E,B22,Transactions!G:G),0)</f>
        <v>175</v>
      </c>
      <c r="D22" s="17" t="n">
        <f aca="false">IFERROR(xlookup(B22,Categories!$A$2:$A$20,Categories!$B$2:$B$20,0),0)</f>
        <v>0</v>
      </c>
      <c r="E22" s="17" t="n">
        <f aca="false">IFERROR(D22-C22,0)</f>
        <v>-175</v>
      </c>
      <c r="F22" s="18" t="n">
        <f aca="false">IFERROR(C22/D22,0)</f>
        <v>0</v>
      </c>
      <c r="G22" s="19" t="str">
        <f aca="false">IFERROR(IF(D22=0,"N/A",IF(C22&gt;D22,"🔴 Over Budget",IF(C22/D22&gt;0.8,"🟡 Near Limit","✅ On Track"))),"N/A")</f>
        <v>N/A</v>
      </c>
    </row>
    <row r="23" customFormat="false" ht="18" hidden="false" customHeight="true" outlineLevel="0" collapsed="false">
      <c r="B23" s="12" t="s">
        <v>27</v>
      </c>
      <c r="C23" s="13" t="n">
        <f aca="false">IFERROR(SUMIF(Transactions!E:E,B23,Transactions!G:G),0)</f>
        <v>495</v>
      </c>
      <c r="D23" s="13" t="n">
        <f aca="false">IFERROR(xlookup(B23,Categories!$A$2:$A$20,Categories!$B$2:$B$20,0),0)</f>
        <v>0</v>
      </c>
      <c r="E23" s="13" t="n">
        <f aca="false">IFERROR(D23-C23,0)</f>
        <v>-495</v>
      </c>
      <c r="F23" s="14" t="n">
        <f aca="false">IFERROR(C23/D23,0)</f>
        <v>0</v>
      </c>
      <c r="G23" s="15" t="str">
        <f aca="false">IFERROR(IF(D23=0,"N/A",IF(C23&gt;D23,"🔴 Over Budget",IF(C23/D23&gt;0.8,"🟡 Near Limit","✅ On Track"))),"N/A")</f>
        <v>N/A</v>
      </c>
    </row>
    <row r="24" customFormat="false" ht="18" hidden="false" customHeight="true" outlineLevel="0" collapsed="false">
      <c r="B24" s="16" t="s">
        <v>28</v>
      </c>
      <c r="C24" s="17" t="n">
        <f aca="false">IFERROR(SUMIF(Transactions!E:E,B24,Transactions!G:G),0)</f>
        <v>275</v>
      </c>
      <c r="D24" s="17" t="n">
        <f aca="false">IFERROR(xlookup(B24,Categories!$A$2:$A$20,Categories!$B$2:$B$20,0),0)</f>
        <v>0</v>
      </c>
      <c r="E24" s="17" t="n">
        <f aca="false">IFERROR(D24-C24,0)</f>
        <v>-275</v>
      </c>
      <c r="F24" s="18" t="n">
        <f aca="false">IFERROR(C24/D24,0)</f>
        <v>0</v>
      </c>
      <c r="G24" s="19" t="str">
        <f aca="false">IFERROR(IF(D24=0,"N/A",IF(C24&gt;D24,"🔴 Over Budget",IF(C24/D24&gt;0.8,"🟡 Near Limit","✅ On Track"))),"N/A")</f>
        <v>N/A</v>
      </c>
    </row>
    <row r="25" customFormat="false" ht="18" hidden="false" customHeight="true" outlineLevel="0" collapsed="false">
      <c r="B25" s="12" t="s">
        <v>29</v>
      </c>
      <c r="C25" s="13" t="n">
        <f aca="false">IFERROR(SUMIF(Transactions!E:E,B25,Transactions!G:G),0)</f>
        <v>65</v>
      </c>
      <c r="D25" s="13" t="n">
        <f aca="false">IFERROR(xlookup(B25,Categories!$A$2:$A$20,Categories!$B$2:$B$20,0),0)</f>
        <v>0</v>
      </c>
      <c r="E25" s="13" t="n">
        <f aca="false">IFERROR(D25-C25,0)</f>
        <v>-65</v>
      </c>
      <c r="F25" s="14" t="n">
        <f aca="false">IFERROR(C25/D25,0)</f>
        <v>0</v>
      </c>
      <c r="G25" s="15" t="str">
        <f aca="false">IFERROR(IF(D25=0,"N/A",IF(C25&gt;D25,"🔴 Over Budget",IF(C25/D25&gt;0.8,"🟡 Near Limit","✅ On Track"))),"N/A")</f>
        <v>N/A</v>
      </c>
    </row>
    <row r="26" customFormat="false" ht="18" hidden="false" customHeight="true" outlineLevel="0" collapsed="false">
      <c r="B26" s="16" t="s">
        <v>30</v>
      </c>
      <c r="C26" s="17" t="n">
        <f aca="false">IFERROR(SUMIF(Transactions!E:E,B26,Transactions!G:G),0)</f>
        <v>29.99</v>
      </c>
      <c r="D26" s="17" t="n">
        <f aca="false">IFERROR(xlookup(B26,Categories!$A$2:$A$20,Categories!$B$2:$B$20,0),0)</f>
        <v>0</v>
      </c>
      <c r="E26" s="17" t="n">
        <f aca="false">IFERROR(D26-C26,0)</f>
        <v>-29.99</v>
      </c>
      <c r="F26" s="18" t="n">
        <f aca="false">IFERROR(C26/D26,0)</f>
        <v>0</v>
      </c>
      <c r="G26" s="19" t="str">
        <f aca="false">IFERROR(IF(D26=0,"N/A",IF(C26&gt;D26,"🔴 Over Budget",IF(C26/D26&gt;0.8,"🟡 Near Limit","✅ On Track"))),"N/A")</f>
        <v>N/A</v>
      </c>
    </row>
    <row r="27" customFormat="false" ht="18" hidden="false" customHeight="true" outlineLevel="0" collapsed="false">
      <c r="B27" s="12" t="s">
        <v>31</v>
      </c>
      <c r="C27" s="13" t="n">
        <f aca="false">IFERROR(SUMIF(Transactions!E:E,B27,Transactions!G:G),0)</f>
        <v>20.5</v>
      </c>
      <c r="D27" s="13" t="n">
        <f aca="false">IFERROR(xlookup(B27,Categories!$A$2:$A$20,Categories!$B$2:$B$20,0),0)</f>
        <v>0</v>
      </c>
      <c r="E27" s="13" t="n">
        <f aca="false">IFERROR(D27-C27,0)</f>
        <v>-20.5</v>
      </c>
      <c r="F27" s="14" t="n">
        <f aca="false">IFERROR(C27/D27,0)</f>
        <v>0</v>
      </c>
      <c r="G27" s="15" t="str">
        <f aca="false">IFERROR(IF(D27=0,"N/A",IF(C27&gt;D27,"🔴 Over Budget",IF(C27/D27&gt;0.8,"🟡 Near Limit","✅ On Track"))),"N/A")</f>
        <v>N/A</v>
      </c>
    </row>
    <row r="28" customFormat="false" ht="18" hidden="false" customHeight="true" outlineLevel="0" collapsed="false">
      <c r="B28" s="16" t="s">
        <v>32</v>
      </c>
      <c r="C28" s="17" t="n">
        <f aca="false">IFERROR(SUMIF(Transactions!E:E,B28,Transactions!G:G),0)</f>
        <v>0</v>
      </c>
      <c r="D28" s="17" t="n">
        <f aca="false">IFERROR(xlookup(B28,Categories!$A$2:$A$20,Categories!$B$2:$B$20,0),0)</f>
        <v>0</v>
      </c>
      <c r="E28" s="17" t="n">
        <f aca="false">IFERROR(D28-C28,0)</f>
        <v>0</v>
      </c>
      <c r="F28" s="18" t="n">
        <f aca="false">IFERROR(C28/D28,0)</f>
        <v>0</v>
      </c>
      <c r="G28" s="19" t="str">
        <f aca="false">IFERROR(IF(D28=0,"N/A",IF(C28&gt;D28,"🔴 Over Budget",IF(C28/D28&gt;0.8,"🟡 Near Limit","✅ On Track"))),"N/A")</f>
        <v>N/A</v>
      </c>
    </row>
    <row r="29" customFormat="false" ht="18" hidden="false" customHeight="true" outlineLevel="0" collapsed="false">
      <c r="B29" s="12" t="s">
        <v>33</v>
      </c>
      <c r="C29" s="13" t="n">
        <f aca="false">IFERROR(SUMIF(Transactions!E:E,B29,Transactions!G:G),0)</f>
        <v>1570</v>
      </c>
      <c r="D29" s="13" t="n">
        <f aca="false">IFERROR(xlookup(B29,Categories!$A$2:$A$20,Categories!$B$2:$B$20,0),0)</f>
        <v>0</v>
      </c>
      <c r="E29" s="13" t="n">
        <f aca="false">IFERROR(D29-C29,0)</f>
        <v>-1570</v>
      </c>
      <c r="F29" s="14" t="n">
        <f aca="false">IFERROR(C29/D29,0)</f>
        <v>0</v>
      </c>
      <c r="G29" s="15" t="str">
        <f aca="false">IFERROR(IF(D29=0,"N/A",IF(C29&gt;D29,"🔴 Over Budget",IF(C29/D29&gt;0.8,"🟡 Near Limit","✅ On Track"))),"N/A")</f>
        <v>N/A</v>
      </c>
    </row>
    <row r="30" customFormat="false" ht="18" hidden="false" customHeight="true" outlineLevel="0" collapsed="false">
      <c r="B30" s="16" t="s">
        <v>34</v>
      </c>
      <c r="C30" s="17" t="n">
        <f aca="false">IFERROR(SUMIF(Transactions!E:E,B30,Transactions!G:G),0)</f>
        <v>0</v>
      </c>
      <c r="D30" s="17" t="n">
        <f aca="false">IFERROR(xlookup(B30,Categories!$A$2:$A$20,Categories!$B$2:$B$20,0),0)</f>
        <v>0</v>
      </c>
      <c r="E30" s="17" t="n">
        <f aca="false">IFERROR(D30-C30,0)</f>
        <v>0</v>
      </c>
      <c r="F30" s="18" t="n">
        <f aca="false">IFERROR(C30/D30,0)</f>
        <v>0</v>
      </c>
      <c r="G30" s="19" t="str">
        <f aca="false">IFERROR(IF(D30=0,"N/A",IF(C30&gt;D30,"🔴 Over Budget",IF(C30/D30&gt;0.8,"🟡 Near Limit","✅ On Track"))),"N/A")</f>
        <v>N/A</v>
      </c>
    </row>
    <row r="31" customFormat="false" ht="18" hidden="false" customHeight="true" outlineLevel="0" collapsed="false"/>
    <row r="32" customFormat="false" ht="18" hidden="false" customHeight="true" outlineLevel="0" collapsed="false">
      <c r="B32" s="3" t="s">
        <v>35</v>
      </c>
      <c r="C32" s="3"/>
      <c r="D32" s="3"/>
      <c r="E32" s="3"/>
      <c r="F32" s="3"/>
      <c r="G32" s="3"/>
      <c r="H32" s="3"/>
    </row>
    <row r="33" customFormat="false" ht="18" hidden="false" customHeight="true" outlineLevel="0" collapsed="false">
      <c r="B33" s="6" t="s">
        <v>36</v>
      </c>
      <c r="C33" s="6"/>
      <c r="D33" s="6" t="s">
        <v>37</v>
      </c>
      <c r="E33" s="6"/>
      <c r="F33" s="6" t="s">
        <v>38</v>
      </c>
      <c r="G33" s="6"/>
      <c r="H33" s="6" t="s">
        <v>39</v>
      </c>
      <c r="I33" s="6"/>
    </row>
    <row r="34" customFormat="false" ht="18" hidden="false" customHeight="true" outlineLevel="0" collapsed="false">
      <c r="B34" s="20" t="n">
        <f aca="false">COUNTA(Transactions!B2:B200)</f>
        <v>73</v>
      </c>
      <c r="C34" s="20"/>
      <c r="D34" s="21" t="n">
        <f aca="false">IFERROR(SUM(Transactions!F2:F200),0)</f>
        <v>191.28</v>
      </c>
      <c r="E34" s="21"/>
      <c r="F34" s="21" t="n">
        <f aca="false">IFERROR(MAX(Transactions!G2:G200),0)</f>
        <v>1000</v>
      </c>
      <c r="G34" s="21"/>
      <c r="H34" s="21" t="n">
        <f aca="false">IFERROR(SUMIF(Transactions!G2:G200,"&gt;"&amp;0,Transactions!G2:G200)/COUNTA(Transactions!B2:B200),0)</f>
        <v>74.4024657534247</v>
      </c>
      <c r="I34" s="21"/>
    </row>
    <row r="35" customFormat="false" ht="18" hidden="false" customHeight="true" outlineLevel="0" collapsed="false"/>
    <row r="36" customFormat="false" ht="18" hidden="false" customHeight="true" outlineLevel="0" collapsed="false">
      <c r="B36" s="22" t="s">
        <v>40</v>
      </c>
      <c r="C36" s="22"/>
      <c r="D36" s="22"/>
      <c r="E36" s="22"/>
      <c r="F36" s="22"/>
      <c r="G36" s="22"/>
      <c r="H36" s="22"/>
    </row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</sheetData>
  <mergeCells count="25">
    <mergeCell ref="B1:H1"/>
    <mergeCell ref="B2:H2"/>
    <mergeCell ref="B4:H4"/>
    <mergeCell ref="B5:C5"/>
    <mergeCell ref="D5:E5"/>
    <mergeCell ref="F5:G5"/>
    <mergeCell ref="B6:C7"/>
    <mergeCell ref="D6:E7"/>
    <mergeCell ref="F6:G7"/>
    <mergeCell ref="B9:H9"/>
    <mergeCell ref="B10:D10"/>
    <mergeCell ref="E10:H10"/>
    <mergeCell ref="B11:D11"/>
    <mergeCell ref="E11:H11"/>
    <mergeCell ref="B13:H13"/>
    <mergeCell ref="B32:H32"/>
    <mergeCell ref="B33:C33"/>
    <mergeCell ref="D33:E33"/>
    <mergeCell ref="F33:G33"/>
    <mergeCell ref="H33:I33"/>
    <mergeCell ref="B34:C34"/>
    <mergeCell ref="D34:E34"/>
    <mergeCell ref="F34:G34"/>
    <mergeCell ref="H34:I34"/>
    <mergeCell ref="B36:H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8" min="6" style="0" width="14"/>
    <col collapsed="false" customWidth="true" hidden="false" outlineLevel="0" max="9" min="9" style="0" width="26"/>
    <col collapsed="false" customWidth="true" hidden="false" outlineLevel="0" max="10" min="10" style="0" width="16"/>
  </cols>
  <sheetData>
    <row r="1" customFormat="false" ht="26.85" hidden="false" customHeight="false" outlineLevel="0" collapsed="false">
      <c r="A1" s="23" t="s">
        <v>41</v>
      </c>
      <c r="B1" s="23" t="s">
        <v>42</v>
      </c>
      <c r="C1" s="23" t="s">
        <v>43</v>
      </c>
      <c r="D1" s="23" t="s">
        <v>44</v>
      </c>
      <c r="E1" s="23" t="s">
        <v>13</v>
      </c>
      <c r="F1" s="23" t="s">
        <v>45</v>
      </c>
      <c r="G1" s="23" t="s">
        <v>46</v>
      </c>
      <c r="H1" s="23" t="s">
        <v>47</v>
      </c>
      <c r="I1" s="23" t="s">
        <v>48</v>
      </c>
      <c r="J1" s="23" t="s">
        <v>18</v>
      </c>
    </row>
    <row r="2" customFormat="false" ht="15" hidden="false" customHeight="false" outlineLevel="0" collapsed="false">
      <c r="A2" s="24" t="n">
        <v>46113</v>
      </c>
      <c r="B2" s="16" t="s">
        <v>49</v>
      </c>
      <c r="C2" s="25" t="s">
        <v>50</v>
      </c>
      <c r="D2" s="26" t="n">
        <v>0</v>
      </c>
      <c r="E2" s="16" t="s">
        <v>20</v>
      </c>
      <c r="F2" s="26" t="n">
        <v>0</v>
      </c>
      <c r="G2" s="26" t="n">
        <v>66</v>
      </c>
      <c r="H2" s="26" t="n">
        <v>1989.25</v>
      </c>
      <c r="I2" s="17" t="n">
        <f aca="false">IFERROR(VLOOKUP(E2,Categories!$A:$B,2,FALSE()),0)</f>
        <v>800</v>
      </c>
      <c r="J2" s="19" t="str">
        <f aca="false">IFERROR(IF(I2=0,"N/A",IF(G2&gt;I2,"🔴 Over Budget","✅ Under Budget")),"N/A")</f>
        <v>✅ Under Budget</v>
      </c>
    </row>
    <row r="3" customFormat="false" ht="15" hidden="false" customHeight="false" outlineLevel="0" collapsed="false">
      <c r="A3" s="27" t="n">
        <v>46113</v>
      </c>
      <c r="B3" s="12" t="s">
        <v>51</v>
      </c>
      <c r="C3" s="28" t="s">
        <v>50</v>
      </c>
      <c r="D3" s="29" t="n">
        <v>0</v>
      </c>
      <c r="E3" s="12" t="s">
        <v>28</v>
      </c>
      <c r="F3" s="29" t="n">
        <v>0</v>
      </c>
      <c r="G3" s="29" t="n">
        <v>275</v>
      </c>
      <c r="H3" s="29" t="n">
        <v>1714.25</v>
      </c>
      <c r="I3" s="13" t="n">
        <f aca="false">IFERROR(VLOOKUP(E3,Categories!$A:$B,2,FALSE()),0)</f>
        <v>400</v>
      </c>
      <c r="J3" s="15" t="str">
        <f aca="false">IFERROR(IF(I3=0,"N/A",IF(G3&gt;I3,"🔴 Over Budget","✅ Under Budget")),"N/A")</f>
        <v>✅ Under Budget</v>
      </c>
    </row>
    <row r="4" customFormat="false" ht="15" hidden="false" customHeight="false" outlineLevel="0" collapsed="false">
      <c r="A4" s="24" t="n">
        <v>46113</v>
      </c>
      <c r="B4" s="16" t="s">
        <v>52</v>
      </c>
      <c r="C4" s="25" t="s">
        <v>50</v>
      </c>
      <c r="D4" s="26" t="n">
        <v>0</v>
      </c>
      <c r="E4" s="16" t="s">
        <v>27</v>
      </c>
      <c r="F4" s="26" t="n">
        <v>0</v>
      </c>
      <c r="G4" s="26" t="n">
        <v>495</v>
      </c>
      <c r="H4" s="26" t="n">
        <v>1219.25</v>
      </c>
      <c r="I4" s="17" t="n">
        <f aca="false">IFERROR(VLOOKUP(E4,Categories!$A:$B,2,FALSE()),0)</f>
        <v>500</v>
      </c>
      <c r="J4" s="19" t="str">
        <f aca="false">IFERROR(IF(I4=0,"N/A",IF(G4&gt;I4,"🔴 Over Budget","✅ Under Budget")),"N/A")</f>
        <v>✅ Under Budget</v>
      </c>
    </row>
    <row r="5" customFormat="false" ht="15" hidden="false" customHeight="false" outlineLevel="0" collapsed="false">
      <c r="A5" s="27" t="n">
        <v>46113</v>
      </c>
      <c r="B5" s="12" t="s">
        <v>53</v>
      </c>
      <c r="C5" s="28" t="s">
        <v>50</v>
      </c>
      <c r="D5" s="29" t="n">
        <v>0</v>
      </c>
      <c r="E5" s="12" t="s">
        <v>19</v>
      </c>
      <c r="F5" s="29" t="n">
        <v>0</v>
      </c>
      <c r="G5" s="29" t="n">
        <v>280</v>
      </c>
      <c r="H5" s="29" t="n">
        <v>939.25</v>
      </c>
      <c r="I5" s="13" t="n">
        <f aca="false">IFERROR(VLOOKUP(E5,Categories!$A:$B,2,FALSE()),0)</f>
        <v>1500</v>
      </c>
      <c r="J5" s="15" t="str">
        <f aca="false">IFERROR(IF(I5=0,"N/A",IF(G5&gt;I5,"🔴 Over Budget","✅ Under Budget")),"N/A")</f>
        <v>✅ Under Budget</v>
      </c>
    </row>
    <row r="6" customFormat="false" ht="15" hidden="false" customHeight="false" outlineLevel="0" collapsed="false">
      <c r="A6" s="24" t="n">
        <v>46113</v>
      </c>
      <c r="B6" s="16" t="s">
        <v>54</v>
      </c>
      <c r="C6" s="25" t="s">
        <v>50</v>
      </c>
      <c r="D6" s="26" t="n">
        <v>0</v>
      </c>
      <c r="E6" s="16" t="s">
        <v>30</v>
      </c>
      <c r="F6" s="26" t="n">
        <v>0</v>
      </c>
      <c r="G6" s="26" t="n">
        <v>29.99</v>
      </c>
      <c r="H6" s="26" t="n">
        <v>909.26</v>
      </c>
      <c r="I6" s="17" t="n">
        <f aca="false">IFERROR(VLOOKUP(E6,Categories!$A:$B,2,FALSE()),0)</f>
        <v>200</v>
      </c>
      <c r="J6" s="19" t="str">
        <f aca="false">IFERROR(IF(I6=0,"N/A",IF(G6&gt;I6,"🔴 Over Budget","✅ Under Budget")),"N/A")</f>
        <v>✅ Under Budget</v>
      </c>
    </row>
    <row r="7" customFormat="false" ht="15" hidden="false" customHeight="false" outlineLevel="0" collapsed="false">
      <c r="A7" s="27" t="n">
        <v>46113</v>
      </c>
      <c r="B7" s="12" t="s">
        <v>55</v>
      </c>
      <c r="C7" s="28" t="s">
        <v>34</v>
      </c>
      <c r="D7" s="29" t="n">
        <v>0</v>
      </c>
      <c r="E7" s="12" t="s">
        <v>34</v>
      </c>
      <c r="F7" s="29" t="n">
        <v>8.02</v>
      </c>
      <c r="G7" s="29" t="n">
        <v>0</v>
      </c>
      <c r="H7" s="29" t="n">
        <v>901.24</v>
      </c>
      <c r="I7" s="13" t="n">
        <f aca="false">IFERROR(VLOOKUP(E7,Categories!$A:$B,2,FALSE()),0)</f>
        <v>500</v>
      </c>
      <c r="J7" s="15" t="str">
        <f aca="false">IFERROR(IF(I7=0,"N/A",IF(G7&gt;I7,"🔴 Over Budget","✅ Under Budget")),"N/A")</f>
        <v>✅ Under Budget</v>
      </c>
    </row>
    <row r="8" customFormat="false" ht="15" hidden="false" customHeight="false" outlineLevel="0" collapsed="false">
      <c r="A8" s="24" t="n">
        <v>46113</v>
      </c>
      <c r="B8" s="16" t="s">
        <v>56</v>
      </c>
      <c r="C8" s="25" t="s">
        <v>57</v>
      </c>
      <c r="D8" s="26" t="n">
        <v>40</v>
      </c>
      <c r="E8" s="16" t="s">
        <v>58</v>
      </c>
      <c r="F8" s="26" t="n">
        <v>0</v>
      </c>
      <c r="G8" s="26" t="n">
        <v>0</v>
      </c>
      <c r="H8" s="26" t="n">
        <v>941.24</v>
      </c>
      <c r="I8" s="17" t="n">
        <f aca="false">IFERROR(VLOOKUP(E8,Categories!$A:$B,2,FALSE()),0)</f>
        <v>0</v>
      </c>
      <c r="J8" s="19" t="str">
        <f aca="false">IFERROR(IF(I8=0,"N/A",IF(G8&gt;I8,"🔴 Over Budget","✅ Under Budget")),"N/A")</f>
        <v>N/A</v>
      </c>
    </row>
    <row r="9" customFormat="false" ht="15" hidden="false" customHeight="false" outlineLevel="0" collapsed="false">
      <c r="A9" s="27" t="n">
        <v>46114</v>
      </c>
      <c r="B9" s="12" t="s">
        <v>59</v>
      </c>
      <c r="C9" s="28" t="s">
        <v>50</v>
      </c>
      <c r="D9" s="29" t="n">
        <v>0</v>
      </c>
      <c r="E9" s="12" t="s">
        <v>31</v>
      </c>
      <c r="F9" s="29" t="n">
        <v>0</v>
      </c>
      <c r="G9" s="29" t="n">
        <v>20.5</v>
      </c>
      <c r="H9" s="29" t="n">
        <v>920.74</v>
      </c>
      <c r="I9" s="13" t="n">
        <f aca="false">IFERROR(VLOOKUP(E9,Categories!$A:$B,2,FALSE()),0)</f>
        <v>300</v>
      </c>
      <c r="J9" s="15" t="str">
        <f aca="false">IFERROR(IF(I9=0,"N/A",IF(G9&gt;I9,"🔴 Over Budget","✅ Under Budget")),"N/A")</f>
        <v>✅ Under Budget</v>
      </c>
    </row>
    <row r="10" customFormat="false" ht="15" hidden="false" customHeight="false" outlineLevel="0" collapsed="false">
      <c r="A10" s="24" t="n">
        <v>46114</v>
      </c>
      <c r="B10" s="16" t="s">
        <v>60</v>
      </c>
      <c r="C10" s="25" t="s">
        <v>50</v>
      </c>
      <c r="D10" s="26" t="n">
        <v>0</v>
      </c>
      <c r="E10" s="16" t="s">
        <v>21</v>
      </c>
      <c r="F10" s="26" t="n">
        <v>0</v>
      </c>
      <c r="G10" s="26" t="n">
        <v>38</v>
      </c>
      <c r="H10" s="26" t="n">
        <v>882.74</v>
      </c>
      <c r="I10" s="17" t="n">
        <f aca="false">IFERROR(VLOOKUP(E10,Categories!$A:$B,2,FALSE()),0)</f>
        <v>600</v>
      </c>
      <c r="J10" s="19" t="str">
        <f aca="false">IFERROR(IF(I10=0,"N/A",IF(G10&gt;I10,"🔴 Over Budget","✅ Under Budget")),"N/A")</f>
        <v>✅ Under Budget</v>
      </c>
    </row>
    <row r="11" customFormat="false" ht="15" hidden="false" customHeight="false" outlineLevel="0" collapsed="false">
      <c r="A11" s="27" t="n">
        <v>46114</v>
      </c>
      <c r="B11" s="12" t="s">
        <v>55</v>
      </c>
      <c r="C11" s="28" t="s">
        <v>34</v>
      </c>
      <c r="D11" s="29" t="n">
        <v>0</v>
      </c>
      <c r="E11" s="12" t="s">
        <v>34</v>
      </c>
      <c r="F11" s="29" t="n">
        <v>14.01</v>
      </c>
      <c r="G11" s="29" t="n">
        <v>0</v>
      </c>
      <c r="H11" s="29" t="n">
        <v>868.73</v>
      </c>
      <c r="I11" s="13" t="n">
        <f aca="false">IFERROR(VLOOKUP(E11,Categories!$A:$B,2,FALSE()),0)</f>
        <v>500</v>
      </c>
      <c r="J11" s="15" t="str">
        <f aca="false">IFERROR(IF(I11=0,"N/A",IF(G11&gt;I11,"🔴 Over Budget","✅ Under Budget")),"N/A")</f>
        <v>✅ Under Budget</v>
      </c>
    </row>
    <row r="12" customFormat="false" ht="15" hidden="false" customHeight="false" outlineLevel="0" collapsed="false">
      <c r="A12" s="24" t="n">
        <v>46115</v>
      </c>
      <c r="B12" s="16" t="s">
        <v>55</v>
      </c>
      <c r="C12" s="25" t="s">
        <v>34</v>
      </c>
      <c r="D12" s="26" t="n">
        <v>0</v>
      </c>
      <c r="E12" s="16" t="s">
        <v>34</v>
      </c>
      <c r="F12" s="26" t="n">
        <v>11.5</v>
      </c>
      <c r="G12" s="26" t="n">
        <v>0</v>
      </c>
      <c r="H12" s="26" t="n">
        <v>857.23</v>
      </c>
      <c r="I12" s="17" t="n">
        <f aca="false">IFERROR(VLOOKUP(E12,Categories!$A:$B,2,FALSE()),0)</f>
        <v>500</v>
      </c>
      <c r="J12" s="19" t="str">
        <f aca="false">IFERROR(IF(I12=0,"N/A",IF(G12&gt;I12,"🔴 Over Budget","✅ Under Budget")),"N/A")</f>
        <v>✅ Under Budget</v>
      </c>
    </row>
    <row r="13" customFormat="false" ht="15" hidden="false" customHeight="false" outlineLevel="0" collapsed="false">
      <c r="A13" s="27" t="n">
        <v>46115</v>
      </c>
      <c r="B13" s="12" t="s">
        <v>61</v>
      </c>
      <c r="C13" s="28" t="s">
        <v>50</v>
      </c>
      <c r="D13" s="29" t="n">
        <v>0</v>
      </c>
      <c r="E13" s="12" t="s">
        <v>26</v>
      </c>
      <c r="F13" s="29" t="n">
        <v>0</v>
      </c>
      <c r="G13" s="29" t="n">
        <v>35</v>
      </c>
      <c r="H13" s="29" t="n">
        <v>822.23</v>
      </c>
      <c r="I13" s="13" t="n">
        <f aca="false">IFERROR(VLOOKUP(E13,Categories!$A:$B,2,FALSE()),0)</f>
        <v>300</v>
      </c>
      <c r="J13" s="15" t="str">
        <f aca="false">IFERROR(IF(I13=0,"N/A",IF(G13&gt;I13,"🔴 Over Budget","✅ Under Budget")),"N/A")</f>
        <v>✅ Under Budget</v>
      </c>
    </row>
    <row r="14" customFormat="false" ht="15" hidden="false" customHeight="false" outlineLevel="0" collapsed="false">
      <c r="A14" s="24" t="n">
        <v>46115</v>
      </c>
      <c r="B14" s="16" t="s">
        <v>62</v>
      </c>
      <c r="C14" s="25" t="s">
        <v>50</v>
      </c>
      <c r="D14" s="26" t="n">
        <v>0</v>
      </c>
      <c r="E14" s="16" t="s">
        <v>21</v>
      </c>
      <c r="F14" s="26" t="n">
        <v>0</v>
      </c>
      <c r="G14" s="26" t="n">
        <v>89</v>
      </c>
      <c r="H14" s="26" t="n">
        <v>733.23</v>
      </c>
      <c r="I14" s="17" t="n">
        <f aca="false">IFERROR(VLOOKUP(E14,Categories!$A:$B,2,FALSE()),0)</f>
        <v>600</v>
      </c>
      <c r="J14" s="19" t="str">
        <f aca="false">IFERROR(IF(I14=0,"N/A",IF(G14&gt;I14,"🔴 Over Budget","✅ Under Budget")),"N/A")</f>
        <v>✅ Under Budget</v>
      </c>
    </row>
    <row r="15" customFormat="false" ht="15" hidden="false" customHeight="false" outlineLevel="0" collapsed="false">
      <c r="A15" s="27" t="n">
        <v>46115</v>
      </c>
      <c r="B15" s="12" t="s">
        <v>63</v>
      </c>
      <c r="C15" s="28" t="s">
        <v>50</v>
      </c>
      <c r="D15" s="29" t="n">
        <v>0</v>
      </c>
      <c r="E15" s="12" t="s">
        <v>19</v>
      </c>
      <c r="F15" s="29" t="n">
        <v>0</v>
      </c>
      <c r="G15" s="29" t="n">
        <v>205</v>
      </c>
      <c r="H15" s="29" t="n">
        <v>528.23</v>
      </c>
      <c r="I15" s="13" t="n">
        <f aca="false">IFERROR(VLOOKUP(E15,Categories!$A:$B,2,FALSE()),0)</f>
        <v>1500</v>
      </c>
      <c r="J15" s="15" t="str">
        <f aca="false">IFERROR(IF(I15=0,"N/A",IF(G15&gt;I15,"🔴 Over Budget","✅ Under Budget")),"N/A")</f>
        <v>✅ Under Budget</v>
      </c>
    </row>
    <row r="16" customFormat="false" ht="15" hidden="false" customHeight="false" outlineLevel="0" collapsed="false">
      <c r="A16" s="24" t="n">
        <v>46116</v>
      </c>
      <c r="B16" s="16" t="s">
        <v>55</v>
      </c>
      <c r="C16" s="25" t="s">
        <v>34</v>
      </c>
      <c r="D16" s="26" t="n">
        <v>0</v>
      </c>
      <c r="E16" s="16" t="s">
        <v>34</v>
      </c>
      <c r="F16" s="26" t="n">
        <v>11</v>
      </c>
      <c r="G16" s="26" t="n">
        <v>0</v>
      </c>
      <c r="H16" s="26" t="n">
        <v>517.23</v>
      </c>
      <c r="I16" s="17" t="n">
        <f aca="false">IFERROR(VLOOKUP(E16,Categories!$A:$B,2,FALSE()),0)</f>
        <v>500</v>
      </c>
      <c r="J16" s="19" t="str">
        <f aca="false">IFERROR(IF(I16=0,"N/A",IF(G16&gt;I16,"🔴 Over Budget","✅ Under Budget")),"N/A")</f>
        <v>✅ Under Budget</v>
      </c>
    </row>
    <row r="17" customFormat="false" ht="15" hidden="false" customHeight="false" outlineLevel="0" collapsed="false">
      <c r="A17" s="27" t="n">
        <v>46117</v>
      </c>
      <c r="B17" s="12" t="s">
        <v>64</v>
      </c>
      <c r="C17" s="28" t="s">
        <v>50</v>
      </c>
      <c r="D17" s="29" t="n">
        <v>0</v>
      </c>
      <c r="E17" s="12" t="s">
        <v>20</v>
      </c>
      <c r="F17" s="29" t="n">
        <v>0</v>
      </c>
      <c r="G17" s="29" t="n">
        <v>47.5</v>
      </c>
      <c r="H17" s="29" t="n">
        <v>469.73</v>
      </c>
      <c r="I17" s="13" t="n">
        <f aca="false">IFERROR(VLOOKUP(E17,Categories!$A:$B,2,FALSE()),0)</f>
        <v>800</v>
      </c>
      <c r="J17" s="15" t="str">
        <f aca="false">IFERROR(IF(I17=0,"N/A",IF(G17&gt;I17,"🔴 Over Budget","✅ Under Budget")),"N/A")</f>
        <v>✅ Under Budget</v>
      </c>
    </row>
    <row r="18" customFormat="false" ht="15" hidden="false" customHeight="false" outlineLevel="0" collapsed="false">
      <c r="A18" s="24" t="n">
        <v>46118</v>
      </c>
      <c r="B18" s="16" t="s">
        <v>65</v>
      </c>
      <c r="C18" s="25" t="s">
        <v>50</v>
      </c>
      <c r="D18" s="26" t="n">
        <v>0</v>
      </c>
      <c r="E18" s="16" t="s">
        <v>24</v>
      </c>
      <c r="F18" s="26" t="n">
        <v>0</v>
      </c>
      <c r="G18" s="26" t="n">
        <v>90</v>
      </c>
      <c r="H18" s="26" t="n">
        <v>379.73</v>
      </c>
      <c r="I18" s="17" t="n">
        <f aca="false">IFERROR(VLOOKUP(E18,Categories!$A:$B,2,FALSE()),0)</f>
        <v>500</v>
      </c>
      <c r="J18" s="19" t="str">
        <f aca="false">IFERROR(IF(I18=0,"N/A",IF(G18&gt;I18,"🔴 Over Budget","✅ Under Budget")),"N/A")</f>
        <v>✅ Under Budget</v>
      </c>
    </row>
    <row r="19" customFormat="false" ht="15" hidden="false" customHeight="false" outlineLevel="0" collapsed="false">
      <c r="A19" s="27" t="n">
        <v>46118</v>
      </c>
      <c r="B19" s="12" t="s">
        <v>55</v>
      </c>
      <c r="C19" s="28" t="s">
        <v>34</v>
      </c>
      <c r="D19" s="29" t="n">
        <v>0</v>
      </c>
      <c r="E19" s="12" t="s">
        <v>34</v>
      </c>
      <c r="F19" s="29" t="n">
        <v>2.5</v>
      </c>
      <c r="G19" s="29" t="n">
        <v>0</v>
      </c>
      <c r="H19" s="29" t="n">
        <v>377.23</v>
      </c>
      <c r="I19" s="13" t="n">
        <f aca="false">IFERROR(VLOOKUP(E19,Categories!$A:$B,2,FALSE()),0)</f>
        <v>500</v>
      </c>
      <c r="J19" s="15" t="str">
        <f aca="false">IFERROR(IF(I19=0,"N/A",IF(G19&gt;I19,"🔴 Over Budget","✅ Under Budget")),"N/A")</f>
        <v>✅ Under Budget</v>
      </c>
    </row>
    <row r="20" customFormat="false" ht="15" hidden="false" customHeight="false" outlineLevel="0" collapsed="false">
      <c r="A20" s="24" t="n">
        <v>46122</v>
      </c>
      <c r="B20" s="16" t="s">
        <v>66</v>
      </c>
      <c r="C20" s="25" t="s">
        <v>67</v>
      </c>
      <c r="D20" s="26" t="n">
        <v>0</v>
      </c>
      <c r="E20" s="16" t="s">
        <v>22</v>
      </c>
      <c r="F20" s="26" t="n">
        <v>0.5</v>
      </c>
      <c r="G20" s="26" t="n">
        <v>10</v>
      </c>
      <c r="H20" s="26" t="n">
        <v>366.73</v>
      </c>
      <c r="I20" s="17" t="n">
        <f aca="false">IFERROR(VLOOKUP(E20,Categories!$A:$B,2,FALSE()),0)</f>
        <v>800</v>
      </c>
      <c r="J20" s="19" t="str">
        <f aca="false">IFERROR(IF(I20=0,"N/A",IF(G20&gt;I20,"🔴 Over Budget","✅ Under Budget")),"N/A")</f>
        <v>✅ Under Budget</v>
      </c>
    </row>
    <row r="21" customFormat="false" ht="15" hidden="false" customHeight="false" outlineLevel="0" collapsed="false">
      <c r="A21" s="27" t="n">
        <v>46125</v>
      </c>
      <c r="B21" s="12" t="s">
        <v>68</v>
      </c>
      <c r="C21" s="28" t="s">
        <v>57</v>
      </c>
      <c r="D21" s="29" t="n">
        <v>300</v>
      </c>
      <c r="E21" s="12" t="s">
        <v>58</v>
      </c>
      <c r="F21" s="29" t="n">
        <v>0</v>
      </c>
      <c r="G21" s="29" t="n">
        <v>0</v>
      </c>
      <c r="H21" s="29" t="n">
        <v>666.73</v>
      </c>
      <c r="I21" s="13" t="n">
        <f aca="false">IFERROR(VLOOKUP(E21,Categories!$A:$B,2,FALSE()),0)</f>
        <v>0</v>
      </c>
      <c r="J21" s="15" t="str">
        <f aca="false">IFERROR(IF(I21=0,"N/A",IF(G21&gt;I21,"🔴 Over Budget","✅ Under Budget")),"N/A")</f>
        <v>N/A</v>
      </c>
    </row>
    <row r="22" customFormat="false" ht="15" hidden="false" customHeight="false" outlineLevel="0" collapsed="false">
      <c r="A22" s="24" t="n">
        <v>46125</v>
      </c>
      <c r="B22" s="16" t="s">
        <v>69</v>
      </c>
      <c r="C22" s="25" t="s">
        <v>67</v>
      </c>
      <c r="D22" s="26" t="n">
        <v>0</v>
      </c>
      <c r="E22" s="16" t="s">
        <v>29</v>
      </c>
      <c r="F22" s="26" t="n">
        <v>0.5</v>
      </c>
      <c r="G22" s="26" t="n">
        <v>15</v>
      </c>
      <c r="H22" s="26" t="n">
        <v>651.23</v>
      </c>
      <c r="I22" s="17" t="n">
        <f aca="false">IFERROR(VLOOKUP(E22,Categories!$A:$B,2,FALSE()),0)</f>
        <v>200</v>
      </c>
      <c r="J22" s="19" t="str">
        <f aca="false">IFERROR(IF(I22=0,"N/A",IF(G22&gt;I22,"🔴 Over Budget","✅ Under Budget")),"N/A")</f>
        <v>✅ Under Budget</v>
      </c>
    </row>
    <row r="23" customFormat="false" ht="15" hidden="false" customHeight="false" outlineLevel="0" collapsed="false">
      <c r="A23" s="27" t="n">
        <v>46127</v>
      </c>
      <c r="B23" s="12" t="s">
        <v>70</v>
      </c>
      <c r="C23" s="28" t="s">
        <v>71</v>
      </c>
      <c r="D23" s="29" t="n">
        <v>0</v>
      </c>
      <c r="E23" s="12" t="s">
        <v>32</v>
      </c>
      <c r="F23" s="29" t="n">
        <v>1</v>
      </c>
      <c r="G23" s="29" t="n">
        <v>0</v>
      </c>
      <c r="H23" s="29" t="n">
        <v>650.23</v>
      </c>
      <c r="I23" s="13" t="n">
        <f aca="false">IFERROR(VLOOKUP(E23,Categories!$A:$B,2,FALSE()),0)</f>
        <v>200</v>
      </c>
      <c r="J23" s="15" t="str">
        <f aca="false">IFERROR(IF(I23=0,"N/A",IF(G23&gt;I23,"🔴 Over Budget","✅ Under Budget")),"N/A")</f>
        <v>✅ Under Budget</v>
      </c>
    </row>
    <row r="24" customFormat="false" ht="15" hidden="false" customHeight="false" outlineLevel="0" collapsed="false">
      <c r="A24" s="24" t="n">
        <v>46127</v>
      </c>
      <c r="B24" s="16" t="s">
        <v>72</v>
      </c>
      <c r="C24" s="25" t="s">
        <v>34</v>
      </c>
      <c r="D24" s="26" t="n">
        <v>50</v>
      </c>
      <c r="E24" s="16" t="s">
        <v>34</v>
      </c>
      <c r="F24" s="26" t="n">
        <v>0</v>
      </c>
      <c r="G24" s="26" t="n">
        <v>0</v>
      </c>
      <c r="H24" s="26" t="n">
        <v>700.23</v>
      </c>
      <c r="I24" s="17" t="n">
        <f aca="false">IFERROR(VLOOKUP(E24,Categories!$A:$B,2,FALSE()),0)</f>
        <v>500</v>
      </c>
      <c r="J24" s="19" t="str">
        <f aca="false">IFERROR(IF(I24=0,"N/A",IF(G24&gt;I24,"🔴 Over Budget","✅ Under Budget")),"N/A")</f>
        <v>✅ Under Budget</v>
      </c>
    </row>
    <row r="25" customFormat="false" ht="15" hidden="false" customHeight="false" outlineLevel="0" collapsed="false">
      <c r="A25" s="27" t="n">
        <v>46128</v>
      </c>
      <c r="B25" s="12" t="s">
        <v>73</v>
      </c>
      <c r="C25" s="28" t="s">
        <v>57</v>
      </c>
      <c r="D25" s="29" t="n">
        <v>200</v>
      </c>
      <c r="E25" s="12" t="s">
        <v>58</v>
      </c>
      <c r="F25" s="29" t="n">
        <v>0</v>
      </c>
      <c r="G25" s="29" t="n">
        <v>0</v>
      </c>
      <c r="H25" s="29" t="n">
        <v>900.23</v>
      </c>
      <c r="I25" s="13" t="n">
        <f aca="false">IFERROR(VLOOKUP(E25,Categories!$A:$B,2,FALSE()),0)</f>
        <v>0</v>
      </c>
      <c r="J25" s="15" t="str">
        <f aca="false">IFERROR(IF(I25=0,"N/A",IF(G25&gt;I25,"🔴 Over Budget","✅ Under Budget")),"N/A")</f>
        <v>N/A</v>
      </c>
    </row>
    <row r="26" customFormat="false" ht="15" hidden="false" customHeight="false" outlineLevel="0" collapsed="false">
      <c r="A26" s="24" t="n">
        <v>46129</v>
      </c>
      <c r="B26" s="16" t="s">
        <v>74</v>
      </c>
      <c r="C26" s="25" t="s">
        <v>75</v>
      </c>
      <c r="D26" s="26" t="n">
        <v>1000</v>
      </c>
      <c r="E26" s="16" t="s">
        <v>76</v>
      </c>
      <c r="F26" s="26" t="n">
        <v>14</v>
      </c>
      <c r="G26" s="26" t="n">
        <v>0</v>
      </c>
      <c r="H26" s="26" t="n">
        <v>1886.23</v>
      </c>
      <c r="I26" s="17" t="n">
        <f aca="false">IFERROR(VLOOKUP(E26,Categories!$A:$B,2,FALSE()),0)</f>
        <v>0</v>
      </c>
      <c r="J26" s="19" t="str">
        <f aca="false">IFERROR(IF(I26=0,"N/A",IF(G26&gt;I26,"🔴 Over Budget","✅ Under Budget")),"N/A")</f>
        <v>N/A</v>
      </c>
    </row>
    <row r="27" customFormat="false" ht="15" hidden="false" customHeight="false" outlineLevel="0" collapsed="false">
      <c r="A27" s="27" t="n">
        <v>46129</v>
      </c>
      <c r="B27" s="12" t="s">
        <v>77</v>
      </c>
      <c r="C27" s="28" t="s">
        <v>78</v>
      </c>
      <c r="D27" s="29" t="n">
        <v>0</v>
      </c>
      <c r="E27" s="12" t="s">
        <v>33</v>
      </c>
      <c r="F27" s="29" t="n">
        <v>2</v>
      </c>
      <c r="G27" s="29" t="n">
        <v>500</v>
      </c>
      <c r="H27" s="29" t="n">
        <v>1384.23</v>
      </c>
      <c r="I27" s="13" t="n">
        <f aca="false">IFERROR(VLOOKUP(E27,Categories!$A:$B,2,FALSE()),0)</f>
        <v>500</v>
      </c>
      <c r="J27" s="15" t="str">
        <f aca="false">IFERROR(IF(I27=0,"N/A",IF(G27&gt;I27,"🔴 Over Budget","✅ Under Budget")),"N/A")</f>
        <v>✅ Under Budget</v>
      </c>
    </row>
    <row r="28" customFormat="false" ht="15" hidden="false" customHeight="false" outlineLevel="0" collapsed="false">
      <c r="A28" s="24" t="n">
        <v>46129</v>
      </c>
      <c r="B28" s="16" t="s">
        <v>79</v>
      </c>
      <c r="C28" s="25" t="s">
        <v>71</v>
      </c>
      <c r="D28" s="26" t="n">
        <v>0</v>
      </c>
      <c r="E28" s="16" t="s">
        <v>32</v>
      </c>
      <c r="F28" s="26" t="n">
        <v>0.35</v>
      </c>
      <c r="G28" s="26" t="n">
        <v>0</v>
      </c>
      <c r="H28" s="26" t="n">
        <v>1383.88</v>
      </c>
      <c r="I28" s="17" t="n">
        <f aca="false">IFERROR(VLOOKUP(E28,Categories!$A:$B,2,FALSE()),0)</f>
        <v>200</v>
      </c>
      <c r="J28" s="19" t="str">
        <f aca="false">IFERROR(IF(I28=0,"N/A",IF(G28&gt;I28,"🔴 Over Budget","✅ Under Budget")),"N/A")</f>
        <v>✅ Under Budget</v>
      </c>
    </row>
    <row r="29" customFormat="false" ht="15" hidden="false" customHeight="false" outlineLevel="0" collapsed="false">
      <c r="A29" s="27" t="n">
        <v>46129</v>
      </c>
      <c r="B29" s="12" t="s">
        <v>56</v>
      </c>
      <c r="C29" s="28" t="s">
        <v>57</v>
      </c>
      <c r="D29" s="29" t="n">
        <v>175.85</v>
      </c>
      <c r="E29" s="12" t="s">
        <v>58</v>
      </c>
      <c r="F29" s="29" t="n">
        <v>0</v>
      </c>
      <c r="G29" s="29" t="n">
        <v>0</v>
      </c>
      <c r="H29" s="29" t="n">
        <v>1559.73</v>
      </c>
      <c r="I29" s="13" t="n">
        <f aca="false">IFERROR(VLOOKUP(E29,Categories!$A:$B,2,FALSE()),0)</f>
        <v>0</v>
      </c>
      <c r="J29" s="15" t="str">
        <f aca="false">IFERROR(IF(I29=0,"N/A",IF(G29&gt;I29,"🔴 Over Budget","✅ Under Budget")),"N/A")</f>
        <v>N/A</v>
      </c>
    </row>
    <row r="30" customFormat="false" ht="15" hidden="false" customHeight="false" outlineLevel="0" collapsed="false">
      <c r="A30" s="24" t="n">
        <v>46130</v>
      </c>
      <c r="B30" s="16" t="s">
        <v>80</v>
      </c>
      <c r="C30" s="25" t="s">
        <v>50</v>
      </c>
      <c r="D30" s="26" t="n">
        <v>0</v>
      </c>
      <c r="E30" s="16" t="s">
        <v>22</v>
      </c>
      <c r="F30" s="26" t="n">
        <v>0</v>
      </c>
      <c r="G30" s="26" t="n">
        <v>625</v>
      </c>
      <c r="H30" s="26" t="n">
        <v>934.73</v>
      </c>
      <c r="I30" s="17" t="n">
        <f aca="false">IFERROR(VLOOKUP(E30,Categories!$A:$B,2,FALSE()),0)</f>
        <v>800</v>
      </c>
      <c r="J30" s="19" t="str">
        <f aca="false">IFERROR(IF(I30=0,"N/A",IF(G30&gt;I30,"🔴 Over Budget","✅ Under Budget")),"N/A")</f>
        <v>✅ Under Budget</v>
      </c>
    </row>
    <row r="31" customFormat="false" ht="15" hidden="false" customHeight="false" outlineLevel="0" collapsed="false">
      <c r="A31" s="27" t="n">
        <v>46131</v>
      </c>
      <c r="B31" s="12" t="s">
        <v>55</v>
      </c>
      <c r="C31" s="28" t="s">
        <v>34</v>
      </c>
      <c r="D31" s="29" t="n">
        <v>0</v>
      </c>
      <c r="E31" s="12" t="s">
        <v>34</v>
      </c>
      <c r="F31" s="29" t="n">
        <v>5</v>
      </c>
      <c r="G31" s="29" t="n">
        <v>0</v>
      </c>
      <c r="H31" s="29" t="n">
        <v>929.73</v>
      </c>
      <c r="I31" s="13" t="n">
        <f aca="false">IFERROR(VLOOKUP(E31,Categories!$A:$B,2,FALSE()),0)</f>
        <v>500</v>
      </c>
      <c r="J31" s="15" t="str">
        <f aca="false">IFERROR(IF(I31=0,"N/A",IF(G31&gt;I31,"🔴 Over Budget","✅ Under Budget")),"N/A")</f>
        <v>✅ Under Budget</v>
      </c>
    </row>
    <row r="32" customFormat="false" ht="15" hidden="false" customHeight="false" outlineLevel="0" collapsed="false">
      <c r="A32" s="24" t="n">
        <v>46132</v>
      </c>
      <c r="B32" s="16" t="s">
        <v>81</v>
      </c>
      <c r="C32" s="25" t="s">
        <v>78</v>
      </c>
      <c r="D32" s="26" t="n">
        <v>0</v>
      </c>
      <c r="E32" s="16" t="s">
        <v>26</v>
      </c>
      <c r="F32" s="26" t="n">
        <v>1</v>
      </c>
      <c r="G32" s="26" t="n">
        <v>140</v>
      </c>
      <c r="H32" s="26" t="n">
        <v>788.73</v>
      </c>
      <c r="I32" s="17" t="n">
        <f aca="false">IFERROR(VLOOKUP(E32,Categories!$A:$B,2,FALSE()),0)</f>
        <v>300</v>
      </c>
      <c r="J32" s="19" t="str">
        <f aca="false">IFERROR(IF(I32=0,"N/A",IF(G32&gt;I32,"🔴 Over Budget","✅ Under Budget")),"N/A")</f>
        <v>✅ Under Budget</v>
      </c>
    </row>
    <row r="33" customFormat="false" ht="15" hidden="false" customHeight="false" outlineLevel="0" collapsed="false">
      <c r="A33" s="27" t="n">
        <v>46132</v>
      </c>
      <c r="B33" s="12" t="s">
        <v>79</v>
      </c>
      <c r="C33" s="28" t="s">
        <v>71</v>
      </c>
      <c r="D33" s="29" t="n">
        <v>0</v>
      </c>
      <c r="E33" s="12" t="s">
        <v>32</v>
      </c>
      <c r="F33" s="29" t="n">
        <v>0.35</v>
      </c>
      <c r="G33" s="29" t="n">
        <v>0</v>
      </c>
      <c r="H33" s="29" t="n">
        <v>788.38</v>
      </c>
      <c r="I33" s="13" t="n">
        <f aca="false">IFERROR(VLOOKUP(E33,Categories!$A:$B,2,FALSE()),0)</f>
        <v>200</v>
      </c>
      <c r="J33" s="15" t="str">
        <f aca="false">IFERROR(IF(I33=0,"N/A",IF(G33&gt;I33,"🔴 Over Budget","✅ Under Budget")),"N/A")</f>
        <v>✅ Under Budget</v>
      </c>
    </row>
    <row r="34" customFormat="false" ht="15" hidden="false" customHeight="false" outlineLevel="0" collapsed="false">
      <c r="A34" s="24" t="n">
        <v>46133</v>
      </c>
      <c r="B34" s="16" t="s">
        <v>69</v>
      </c>
      <c r="C34" s="25" t="s">
        <v>67</v>
      </c>
      <c r="D34" s="26" t="n">
        <v>0</v>
      </c>
      <c r="E34" s="16" t="s">
        <v>29</v>
      </c>
      <c r="F34" s="26" t="n">
        <v>0.5</v>
      </c>
      <c r="G34" s="26" t="n">
        <v>15</v>
      </c>
      <c r="H34" s="26" t="n">
        <v>772.88</v>
      </c>
      <c r="I34" s="17" t="n">
        <f aca="false">IFERROR(VLOOKUP(E34,Categories!$A:$B,2,FALSE()),0)</f>
        <v>200</v>
      </c>
      <c r="J34" s="19" t="str">
        <f aca="false">IFERROR(IF(I34=0,"N/A",IF(G34&gt;I34,"🔴 Over Budget","✅ Under Budget")),"N/A")</f>
        <v>✅ Under Budget</v>
      </c>
    </row>
    <row r="35" customFormat="false" ht="15" hidden="false" customHeight="false" outlineLevel="0" collapsed="false">
      <c r="A35" s="27" t="n">
        <v>46133</v>
      </c>
      <c r="B35" s="12" t="s">
        <v>82</v>
      </c>
      <c r="C35" s="28" t="s">
        <v>67</v>
      </c>
      <c r="D35" s="29" t="n">
        <v>0</v>
      </c>
      <c r="E35" s="12" t="s">
        <v>22</v>
      </c>
      <c r="F35" s="29" t="n">
        <v>0.5</v>
      </c>
      <c r="G35" s="29" t="n">
        <v>25</v>
      </c>
      <c r="H35" s="29" t="n">
        <v>747.38</v>
      </c>
      <c r="I35" s="13" t="n">
        <f aca="false">IFERROR(VLOOKUP(E35,Categories!$A:$B,2,FALSE()),0)</f>
        <v>800</v>
      </c>
      <c r="J35" s="15" t="str">
        <f aca="false">IFERROR(IF(I35=0,"N/A",IF(G35&gt;I35,"🔴 Over Budget","✅ Under Budget")),"N/A")</f>
        <v>✅ Under Budget</v>
      </c>
    </row>
    <row r="36" customFormat="false" ht="15" hidden="false" customHeight="false" outlineLevel="0" collapsed="false">
      <c r="A36" s="24" t="n">
        <v>46134</v>
      </c>
      <c r="B36" s="16" t="s">
        <v>83</v>
      </c>
      <c r="C36" s="25" t="s">
        <v>50</v>
      </c>
      <c r="D36" s="26" t="n">
        <v>0</v>
      </c>
      <c r="E36" s="16" t="s">
        <v>19</v>
      </c>
      <c r="F36" s="26" t="n">
        <v>0</v>
      </c>
      <c r="G36" s="26" t="n">
        <v>90</v>
      </c>
      <c r="H36" s="26" t="n">
        <v>657.38</v>
      </c>
      <c r="I36" s="17" t="n">
        <f aca="false">IFERROR(VLOOKUP(E36,Categories!$A:$B,2,FALSE()),0)</f>
        <v>1500</v>
      </c>
      <c r="J36" s="19" t="str">
        <f aca="false">IFERROR(IF(I36=0,"N/A",IF(G36&gt;I36,"🔴 Over Budget","✅ Under Budget")),"N/A")</f>
        <v>✅ Under Budget</v>
      </c>
    </row>
    <row r="37" customFormat="false" ht="15" hidden="false" customHeight="false" outlineLevel="0" collapsed="false">
      <c r="A37" s="27" t="n">
        <v>46134</v>
      </c>
      <c r="B37" s="12" t="s">
        <v>62</v>
      </c>
      <c r="C37" s="28" t="s">
        <v>50</v>
      </c>
      <c r="D37" s="29" t="n">
        <v>0</v>
      </c>
      <c r="E37" s="12" t="s">
        <v>21</v>
      </c>
      <c r="F37" s="29" t="n">
        <v>0</v>
      </c>
      <c r="G37" s="29" t="n">
        <v>33</v>
      </c>
      <c r="H37" s="29" t="n">
        <v>624.38</v>
      </c>
      <c r="I37" s="13" t="n">
        <f aca="false">IFERROR(VLOOKUP(E37,Categories!$A:$B,2,FALSE()),0)</f>
        <v>600</v>
      </c>
      <c r="J37" s="15" t="str">
        <f aca="false">IFERROR(IF(I37=0,"N/A",IF(G37&gt;I37,"🔴 Over Budget","✅ Under Budget")),"N/A")</f>
        <v>✅ Under Budget</v>
      </c>
    </row>
    <row r="38" customFormat="false" ht="15" hidden="false" customHeight="false" outlineLevel="0" collapsed="false">
      <c r="A38" s="24" t="n">
        <v>46135</v>
      </c>
      <c r="B38" s="16" t="s">
        <v>55</v>
      </c>
      <c r="C38" s="25" t="s">
        <v>34</v>
      </c>
      <c r="D38" s="26" t="n">
        <v>0</v>
      </c>
      <c r="E38" s="16" t="s">
        <v>34</v>
      </c>
      <c r="F38" s="26" t="n">
        <v>7</v>
      </c>
      <c r="G38" s="26" t="n">
        <v>0</v>
      </c>
      <c r="H38" s="26" t="n">
        <v>617.38</v>
      </c>
      <c r="I38" s="17" t="n">
        <f aca="false">IFERROR(VLOOKUP(E38,Categories!$A:$B,2,FALSE()),0)</f>
        <v>500</v>
      </c>
      <c r="J38" s="19" t="str">
        <f aca="false">IFERROR(IF(I38=0,"N/A",IF(G38&gt;I38,"🔴 Over Budget","✅ Under Budget")),"N/A")</f>
        <v>✅ Under Budget</v>
      </c>
    </row>
    <row r="39" customFormat="false" ht="15" hidden="false" customHeight="false" outlineLevel="0" collapsed="false">
      <c r="A39" s="27" t="n">
        <v>46135</v>
      </c>
      <c r="B39" s="12" t="s">
        <v>84</v>
      </c>
      <c r="C39" s="28" t="s">
        <v>50</v>
      </c>
      <c r="D39" s="29" t="n">
        <v>0</v>
      </c>
      <c r="E39" s="12" t="s">
        <v>19</v>
      </c>
      <c r="F39" s="29" t="n">
        <v>0</v>
      </c>
      <c r="G39" s="29" t="n">
        <v>16.9</v>
      </c>
      <c r="H39" s="29" t="n">
        <v>600.48</v>
      </c>
      <c r="I39" s="13" t="n">
        <f aca="false">IFERROR(VLOOKUP(E39,Categories!$A:$B,2,FALSE()),0)</f>
        <v>1500</v>
      </c>
      <c r="J39" s="15" t="str">
        <f aca="false">IFERROR(IF(I39=0,"N/A",IF(G39&gt;I39,"🔴 Over Budget","✅ Under Budget")),"N/A")</f>
        <v>✅ Under Budget</v>
      </c>
    </row>
    <row r="40" customFormat="false" ht="15" hidden="false" customHeight="false" outlineLevel="0" collapsed="false">
      <c r="A40" s="24" t="n">
        <v>46135</v>
      </c>
      <c r="B40" s="16" t="s">
        <v>85</v>
      </c>
      <c r="C40" s="25" t="s">
        <v>50</v>
      </c>
      <c r="D40" s="26" t="n">
        <v>0</v>
      </c>
      <c r="E40" s="16" t="s">
        <v>19</v>
      </c>
      <c r="F40" s="26" t="n">
        <v>0</v>
      </c>
      <c r="G40" s="26" t="n">
        <v>81.9</v>
      </c>
      <c r="H40" s="26" t="n">
        <v>518.58</v>
      </c>
      <c r="I40" s="17" t="n">
        <f aca="false">IFERROR(VLOOKUP(E40,Categories!$A:$B,2,FALSE()),0)</f>
        <v>1500</v>
      </c>
      <c r="J40" s="19" t="str">
        <f aca="false">IFERROR(IF(I40=0,"N/A",IF(G40&gt;I40,"🔴 Over Budget","✅ Under Budget")),"N/A")</f>
        <v>✅ Under Budget</v>
      </c>
    </row>
    <row r="41" customFormat="false" ht="15" hidden="false" customHeight="false" outlineLevel="0" collapsed="false">
      <c r="A41" s="27" t="n">
        <v>46135</v>
      </c>
      <c r="B41" s="12" t="s">
        <v>86</v>
      </c>
      <c r="C41" s="28" t="s">
        <v>78</v>
      </c>
      <c r="D41" s="29" t="n">
        <v>0</v>
      </c>
      <c r="E41" s="12" t="s">
        <v>33</v>
      </c>
      <c r="F41" s="29" t="n">
        <v>2</v>
      </c>
      <c r="G41" s="29" t="n">
        <v>20</v>
      </c>
      <c r="H41" s="29" t="n">
        <v>496.58</v>
      </c>
      <c r="I41" s="13" t="n">
        <f aca="false">IFERROR(VLOOKUP(E41,Categories!$A:$B,2,FALSE()),0)</f>
        <v>500</v>
      </c>
      <c r="J41" s="15" t="str">
        <f aca="false">IFERROR(IF(I41=0,"N/A",IF(G41&gt;I41,"🔴 Over Budget","✅ Under Budget")),"N/A")</f>
        <v>✅ Under Budget</v>
      </c>
    </row>
    <row r="42" customFormat="false" ht="15" hidden="false" customHeight="false" outlineLevel="0" collapsed="false">
      <c r="A42" s="24" t="n">
        <v>46136</v>
      </c>
      <c r="B42" s="16" t="s">
        <v>55</v>
      </c>
      <c r="C42" s="25" t="s">
        <v>34</v>
      </c>
      <c r="D42" s="26" t="n">
        <v>0</v>
      </c>
      <c r="E42" s="16" t="s">
        <v>34</v>
      </c>
      <c r="F42" s="26" t="n">
        <v>11.2</v>
      </c>
      <c r="G42" s="26" t="n">
        <v>0</v>
      </c>
      <c r="H42" s="26" t="n">
        <v>485.38</v>
      </c>
      <c r="I42" s="17" t="n">
        <f aca="false">IFERROR(VLOOKUP(E42,Categories!$A:$B,2,FALSE()),0)</f>
        <v>500</v>
      </c>
      <c r="J42" s="19" t="str">
        <f aca="false">IFERROR(IF(I42=0,"N/A",IF(G42&gt;I42,"🔴 Over Budget","✅ Under Budget")),"N/A")</f>
        <v>✅ Under Budget</v>
      </c>
    </row>
    <row r="43" customFormat="false" ht="15" hidden="false" customHeight="false" outlineLevel="0" collapsed="false">
      <c r="A43" s="27" t="n">
        <v>46136</v>
      </c>
      <c r="B43" s="12" t="s">
        <v>87</v>
      </c>
      <c r="C43" s="28" t="s">
        <v>88</v>
      </c>
      <c r="D43" s="29" t="n">
        <v>0</v>
      </c>
      <c r="E43" s="12" t="s">
        <v>25</v>
      </c>
      <c r="F43" s="29" t="n">
        <v>0</v>
      </c>
      <c r="G43" s="29" t="n">
        <v>79</v>
      </c>
      <c r="H43" s="29" t="n">
        <v>406.38</v>
      </c>
      <c r="I43" s="13" t="n">
        <f aca="false">IFERROR(VLOOKUP(E43,Categories!$A:$B,2,FALSE()),0)</f>
        <v>400</v>
      </c>
      <c r="J43" s="15" t="str">
        <f aca="false">IFERROR(IF(I43=0,"N/A",IF(G43&gt;I43,"🔴 Over Budget","✅ Under Budget")),"N/A")</f>
        <v>✅ Under Budget</v>
      </c>
    </row>
    <row r="44" customFormat="false" ht="15" hidden="false" customHeight="false" outlineLevel="0" collapsed="false">
      <c r="A44" s="24" t="n">
        <v>46136</v>
      </c>
      <c r="B44" s="16" t="s">
        <v>72</v>
      </c>
      <c r="C44" s="25" t="s">
        <v>34</v>
      </c>
      <c r="D44" s="26" t="n">
        <v>60</v>
      </c>
      <c r="E44" s="16" t="s">
        <v>34</v>
      </c>
      <c r="F44" s="26" t="n">
        <v>0</v>
      </c>
      <c r="G44" s="26" t="n">
        <v>0</v>
      </c>
      <c r="H44" s="26" t="n">
        <v>466.38</v>
      </c>
      <c r="I44" s="17" t="n">
        <f aca="false">IFERROR(VLOOKUP(E44,Categories!$A:$B,2,FALSE()),0)</f>
        <v>500</v>
      </c>
      <c r="J44" s="19" t="str">
        <f aca="false">IFERROR(IF(I44=0,"N/A",IF(G44&gt;I44,"🔴 Over Budget","✅ Under Budget")),"N/A")</f>
        <v>✅ Under Budget</v>
      </c>
    </row>
    <row r="45" customFormat="false" ht="15" hidden="false" customHeight="false" outlineLevel="0" collapsed="false">
      <c r="A45" s="27" t="n">
        <v>46136</v>
      </c>
      <c r="B45" s="12" t="s">
        <v>69</v>
      </c>
      <c r="C45" s="28" t="s">
        <v>67</v>
      </c>
      <c r="D45" s="29" t="n">
        <v>0</v>
      </c>
      <c r="E45" s="12" t="s">
        <v>29</v>
      </c>
      <c r="F45" s="29" t="n">
        <v>0.5</v>
      </c>
      <c r="G45" s="29" t="n">
        <v>10</v>
      </c>
      <c r="H45" s="29" t="n">
        <v>455.88</v>
      </c>
      <c r="I45" s="13" t="n">
        <f aca="false">IFERROR(VLOOKUP(E45,Categories!$A:$B,2,FALSE()),0)</f>
        <v>200</v>
      </c>
      <c r="J45" s="15" t="str">
        <f aca="false">IFERROR(IF(I45=0,"N/A",IF(G45&gt;I45,"🔴 Over Budget","✅ Under Budget")),"N/A")</f>
        <v>✅ Under Budget</v>
      </c>
    </row>
    <row r="46" customFormat="false" ht="15" hidden="false" customHeight="false" outlineLevel="0" collapsed="false">
      <c r="A46" s="24" t="n">
        <v>46137</v>
      </c>
      <c r="B46" s="16" t="s">
        <v>55</v>
      </c>
      <c r="C46" s="25" t="s">
        <v>34</v>
      </c>
      <c r="D46" s="26" t="n">
        <v>0</v>
      </c>
      <c r="E46" s="16" t="s">
        <v>34</v>
      </c>
      <c r="F46" s="26" t="n">
        <v>1</v>
      </c>
      <c r="G46" s="26" t="n">
        <v>0</v>
      </c>
      <c r="H46" s="26" t="n">
        <v>454.88</v>
      </c>
      <c r="I46" s="17" t="n">
        <f aca="false">IFERROR(VLOOKUP(E46,Categories!$A:$B,2,FALSE()),0)</f>
        <v>500</v>
      </c>
      <c r="J46" s="19" t="str">
        <f aca="false">IFERROR(IF(I46=0,"N/A",IF(G46&gt;I46,"🔴 Over Budget","✅ Under Budget")),"N/A")</f>
        <v>✅ Under Budget</v>
      </c>
    </row>
    <row r="47" customFormat="false" ht="15" hidden="false" customHeight="false" outlineLevel="0" collapsed="false">
      <c r="A47" s="27" t="n">
        <v>46137</v>
      </c>
      <c r="B47" s="12" t="s">
        <v>89</v>
      </c>
      <c r="C47" s="28" t="s">
        <v>50</v>
      </c>
      <c r="D47" s="29" t="n">
        <v>0</v>
      </c>
      <c r="E47" s="12" t="s">
        <v>19</v>
      </c>
      <c r="F47" s="29" t="n">
        <v>0</v>
      </c>
      <c r="G47" s="29" t="n">
        <v>52</v>
      </c>
      <c r="H47" s="29" t="n">
        <v>402.88</v>
      </c>
      <c r="I47" s="13" t="n">
        <f aca="false">IFERROR(VLOOKUP(E47,Categories!$A:$B,2,FALSE()),0)</f>
        <v>1500</v>
      </c>
      <c r="J47" s="15" t="str">
        <f aca="false">IFERROR(IF(I47=0,"N/A",IF(G47&gt;I47,"🔴 Over Budget","✅ Under Budget")),"N/A")</f>
        <v>✅ Under Budget</v>
      </c>
    </row>
    <row r="48" customFormat="false" ht="15" hidden="false" customHeight="false" outlineLevel="0" collapsed="false">
      <c r="A48" s="24" t="n">
        <v>46137</v>
      </c>
      <c r="B48" s="16" t="s">
        <v>90</v>
      </c>
      <c r="C48" s="25" t="s">
        <v>78</v>
      </c>
      <c r="D48" s="26" t="n">
        <v>0</v>
      </c>
      <c r="E48" s="16" t="s">
        <v>33</v>
      </c>
      <c r="F48" s="26" t="n">
        <v>2</v>
      </c>
      <c r="G48" s="26" t="n">
        <v>50</v>
      </c>
      <c r="H48" s="26" t="n">
        <v>350.88</v>
      </c>
      <c r="I48" s="17" t="n">
        <f aca="false">IFERROR(VLOOKUP(E48,Categories!$A:$B,2,FALSE()),0)</f>
        <v>500</v>
      </c>
      <c r="J48" s="19" t="str">
        <f aca="false">IFERROR(IF(I48=0,"N/A",IF(G48&gt;I48,"🔴 Over Budget","✅ Under Budget")),"N/A")</f>
        <v>✅ Under Budget</v>
      </c>
    </row>
    <row r="49" customFormat="false" ht="15" hidden="false" customHeight="false" outlineLevel="0" collapsed="false">
      <c r="A49" s="27" t="n">
        <v>46137</v>
      </c>
      <c r="B49" s="12" t="s">
        <v>79</v>
      </c>
      <c r="C49" s="28" t="s">
        <v>71</v>
      </c>
      <c r="D49" s="29" t="n">
        <v>0</v>
      </c>
      <c r="E49" s="12" t="s">
        <v>32</v>
      </c>
      <c r="F49" s="29" t="n">
        <v>0.35</v>
      </c>
      <c r="G49" s="29" t="n">
        <v>0</v>
      </c>
      <c r="H49" s="29" t="n">
        <v>350.53</v>
      </c>
      <c r="I49" s="13" t="n">
        <f aca="false">IFERROR(VLOOKUP(E49,Categories!$A:$B,2,FALSE()),0)</f>
        <v>200</v>
      </c>
      <c r="J49" s="15" t="str">
        <f aca="false">IFERROR(IF(I49=0,"N/A",IF(G49&gt;I49,"🔴 Over Budget","✅ Under Budget")),"N/A")</f>
        <v>✅ Under Budget</v>
      </c>
    </row>
    <row r="50" customFormat="false" ht="15" hidden="false" customHeight="false" outlineLevel="0" collapsed="false">
      <c r="A50" s="24" t="n">
        <v>46138</v>
      </c>
      <c r="B50" s="16" t="s">
        <v>55</v>
      </c>
      <c r="C50" s="25" t="s">
        <v>34</v>
      </c>
      <c r="D50" s="26" t="n">
        <v>0</v>
      </c>
      <c r="E50" s="16" t="s">
        <v>34</v>
      </c>
      <c r="F50" s="26" t="n">
        <v>8</v>
      </c>
      <c r="G50" s="26" t="n">
        <v>0</v>
      </c>
      <c r="H50" s="26" t="n">
        <v>342.53</v>
      </c>
      <c r="I50" s="17" t="n">
        <f aca="false">IFERROR(VLOOKUP(E50,Categories!$A:$B,2,FALSE()),0)</f>
        <v>500</v>
      </c>
      <c r="J50" s="19" t="str">
        <f aca="false">IFERROR(IF(I50=0,"N/A",IF(G50&gt;I50,"🔴 Over Budget","✅ Under Budget")),"N/A")</f>
        <v>✅ Under Budget</v>
      </c>
    </row>
    <row r="51" customFormat="false" ht="15" hidden="false" customHeight="false" outlineLevel="0" collapsed="false">
      <c r="A51" s="27" t="n">
        <v>46138</v>
      </c>
      <c r="B51" s="12" t="s">
        <v>63</v>
      </c>
      <c r="C51" s="28" t="s">
        <v>50</v>
      </c>
      <c r="D51" s="29" t="n">
        <v>0</v>
      </c>
      <c r="E51" s="12" t="s">
        <v>19</v>
      </c>
      <c r="F51" s="29" t="n">
        <v>0</v>
      </c>
      <c r="G51" s="29" t="n">
        <v>85</v>
      </c>
      <c r="H51" s="29" t="n">
        <v>257.53</v>
      </c>
      <c r="I51" s="13" t="n">
        <f aca="false">IFERROR(VLOOKUP(E51,Categories!$A:$B,2,FALSE()),0)</f>
        <v>1500</v>
      </c>
      <c r="J51" s="15" t="str">
        <f aca="false">IFERROR(IF(I51=0,"N/A",IF(G51&gt;I51,"🔴 Over Budget","✅ Under Budget")),"N/A")</f>
        <v>✅ Under Budget</v>
      </c>
    </row>
    <row r="52" customFormat="false" ht="15" hidden="false" customHeight="false" outlineLevel="0" collapsed="false">
      <c r="A52" s="24" t="n">
        <v>46138</v>
      </c>
      <c r="B52" s="16" t="s">
        <v>91</v>
      </c>
      <c r="C52" s="25" t="s">
        <v>50</v>
      </c>
      <c r="D52" s="26" t="n">
        <v>0</v>
      </c>
      <c r="E52" s="16" t="s">
        <v>21</v>
      </c>
      <c r="F52" s="26" t="n">
        <v>0</v>
      </c>
      <c r="G52" s="26" t="n">
        <v>183</v>
      </c>
      <c r="H52" s="26" t="n">
        <v>74.53</v>
      </c>
      <c r="I52" s="17" t="n">
        <f aca="false">IFERROR(VLOOKUP(E52,Categories!$A:$B,2,FALSE()),0)</f>
        <v>600</v>
      </c>
      <c r="J52" s="19" t="str">
        <f aca="false">IFERROR(IF(I52=0,"N/A",IF(G52&gt;I52,"🔴 Over Budget","✅ Under Budget")),"N/A")</f>
        <v>✅ Under Budget</v>
      </c>
    </row>
    <row r="53" customFormat="false" ht="15" hidden="false" customHeight="false" outlineLevel="0" collapsed="false">
      <c r="A53" s="27" t="n">
        <v>46138</v>
      </c>
      <c r="B53" s="12" t="s">
        <v>62</v>
      </c>
      <c r="C53" s="28" t="s">
        <v>50</v>
      </c>
      <c r="D53" s="29" t="n">
        <v>0</v>
      </c>
      <c r="E53" s="12" t="s">
        <v>21</v>
      </c>
      <c r="F53" s="29" t="n">
        <v>0</v>
      </c>
      <c r="G53" s="29" t="n">
        <v>39</v>
      </c>
      <c r="H53" s="29" t="n">
        <v>35.53</v>
      </c>
      <c r="I53" s="13" t="n">
        <f aca="false">IFERROR(VLOOKUP(E53,Categories!$A:$B,2,FALSE()),0)</f>
        <v>600</v>
      </c>
      <c r="J53" s="15" t="str">
        <f aca="false">IFERROR(IF(I53=0,"N/A",IF(G53&gt;I53,"🔴 Over Budget","✅ Under Budget")),"N/A")</f>
        <v>✅ Under Budget</v>
      </c>
    </row>
    <row r="54" customFormat="false" ht="15" hidden="false" customHeight="false" outlineLevel="0" collapsed="false">
      <c r="A54" s="24" t="n">
        <v>46140</v>
      </c>
      <c r="B54" s="16" t="s">
        <v>92</v>
      </c>
      <c r="C54" s="25" t="s">
        <v>71</v>
      </c>
      <c r="D54" s="26" t="n">
        <v>0</v>
      </c>
      <c r="E54" s="16" t="s">
        <v>32</v>
      </c>
      <c r="F54" s="26" t="n">
        <v>4</v>
      </c>
      <c r="G54" s="26" t="n">
        <v>0</v>
      </c>
      <c r="H54" s="26" t="n">
        <v>31.53</v>
      </c>
      <c r="I54" s="17" t="n">
        <f aca="false">IFERROR(VLOOKUP(E54,Categories!$A:$B,2,FALSE()),0)</f>
        <v>200</v>
      </c>
      <c r="J54" s="19" t="str">
        <f aca="false">IFERROR(IF(I54=0,"N/A",IF(G54&gt;I54,"🔴 Over Budget","✅ Under Budget")),"N/A")</f>
        <v>✅ Under Budget</v>
      </c>
    </row>
    <row r="55" customFormat="false" ht="15" hidden="false" customHeight="false" outlineLevel="0" collapsed="false">
      <c r="A55" s="27" t="n">
        <v>46141</v>
      </c>
      <c r="B55" s="12" t="s">
        <v>92</v>
      </c>
      <c r="C55" s="28" t="s">
        <v>71</v>
      </c>
      <c r="D55" s="29" t="n">
        <v>0</v>
      </c>
      <c r="E55" s="12" t="s">
        <v>32</v>
      </c>
      <c r="F55" s="29" t="n">
        <v>4</v>
      </c>
      <c r="G55" s="29" t="n">
        <v>0</v>
      </c>
      <c r="H55" s="29" t="n">
        <v>27.53</v>
      </c>
      <c r="I55" s="13" t="n">
        <f aca="false">IFERROR(VLOOKUP(E55,Categories!$A:$B,2,FALSE()),0)</f>
        <v>200</v>
      </c>
      <c r="J55" s="15" t="str">
        <f aca="false">IFERROR(IF(I55=0,"N/A",IF(G55&gt;I55,"🔴 Over Budget","✅ Under Budget")),"N/A")</f>
        <v>✅ Under Budget</v>
      </c>
    </row>
    <row r="56" customFormat="false" ht="15" hidden="false" customHeight="false" outlineLevel="0" collapsed="false">
      <c r="A56" s="24" t="n">
        <v>46142</v>
      </c>
      <c r="B56" s="16" t="s">
        <v>93</v>
      </c>
      <c r="C56" s="25" t="s">
        <v>71</v>
      </c>
      <c r="D56" s="26" t="n">
        <v>0</v>
      </c>
      <c r="E56" s="16" t="s">
        <v>32</v>
      </c>
      <c r="F56" s="26" t="n">
        <v>2</v>
      </c>
      <c r="G56" s="26" t="n">
        <v>0</v>
      </c>
      <c r="H56" s="26" t="n">
        <v>25.53</v>
      </c>
      <c r="I56" s="17" t="n">
        <f aca="false">IFERROR(VLOOKUP(E56,Categories!$A:$B,2,FALSE()),0)</f>
        <v>200</v>
      </c>
      <c r="J56" s="19" t="str">
        <f aca="false">IFERROR(IF(I56=0,"N/A",IF(G56&gt;I56,"🔴 Over Budget","✅ Under Budget")),"N/A")</f>
        <v>✅ Under Budget</v>
      </c>
    </row>
    <row r="57" customFormat="false" ht="15" hidden="false" customHeight="false" outlineLevel="0" collapsed="false">
      <c r="A57" s="27" t="n">
        <v>46142</v>
      </c>
      <c r="B57" s="12" t="s">
        <v>73</v>
      </c>
      <c r="C57" s="28" t="s">
        <v>57</v>
      </c>
      <c r="D57" s="29" t="n">
        <v>100</v>
      </c>
      <c r="E57" s="12" t="s">
        <v>58</v>
      </c>
      <c r="F57" s="29" t="n">
        <v>0</v>
      </c>
      <c r="G57" s="29" t="n">
        <v>0</v>
      </c>
      <c r="H57" s="29" t="n">
        <v>125.53</v>
      </c>
      <c r="I57" s="13" t="n">
        <f aca="false">IFERROR(VLOOKUP(E57,Categories!$A:$B,2,FALSE()),0)</f>
        <v>0</v>
      </c>
      <c r="J57" s="15" t="str">
        <f aca="false">IFERROR(IF(I57=0,"N/A",IF(G57&gt;I57,"🔴 Over Budget","✅ Under Budget")),"N/A")</f>
        <v>N/A</v>
      </c>
    </row>
    <row r="58" customFormat="false" ht="15" hidden="false" customHeight="false" outlineLevel="0" collapsed="false">
      <c r="A58" s="24" t="n">
        <v>46142</v>
      </c>
      <c r="B58" s="16" t="s">
        <v>94</v>
      </c>
      <c r="C58" s="25" t="s">
        <v>34</v>
      </c>
      <c r="D58" s="26" t="n">
        <v>13.4</v>
      </c>
      <c r="E58" s="16" t="s">
        <v>34</v>
      </c>
      <c r="F58" s="26" t="n">
        <v>0</v>
      </c>
      <c r="G58" s="26" t="n">
        <v>0</v>
      </c>
      <c r="H58" s="26" t="n">
        <v>138.93</v>
      </c>
      <c r="I58" s="17" t="n">
        <f aca="false">IFERROR(VLOOKUP(E58,Categories!$A:$B,2,FALSE()),0)</f>
        <v>500</v>
      </c>
      <c r="J58" s="19" t="str">
        <f aca="false">IFERROR(IF(I58=0,"N/A",IF(G58&gt;I58,"🔴 Over Budget","✅ Under Budget")),"N/A")</f>
        <v>✅ Under Budget</v>
      </c>
    </row>
    <row r="59" customFormat="false" ht="15" hidden="false" customHeight="false" outlineLevel="0" collapsed="false">
      <c r="A59" s="27" t="n">
        <v>46142</v>
      </c>
      <c r="B59" s="12" t="s">
        <v>70</v>
      </c>
      <c r="C59" s="28" t="s">
        <v>71</v>
      </c>
      <c r="D59" s="29" t="n">
        <v>0</v>
      </c>
      <c r="E59" s="12" t="s">
        <v>32</v>
      </c>
      <c r="F59" s="29" t="n">
        <v>1</v>
      </c>
      <c r="G59" s="29" t="n">
        <v>0</v>
      </c>
      <c r="H59" s="29" t="n">
        <v>137.93</v>
      </c>
      <c r="I59" s="13" t="n">
        <f aca="false">IFERROR(VLOOKUP(E59,Categories!$A:$B,2,FALSE()),0)</f>
        <v>200</v>
      </c>
      <c r="J59" s="15" t="str">
        <f aca="false">IFERROR(IF(I59=0,"N/A",IF(G59&gt;I59,"🔴 Over Budget","✅ Under Budget")),"N/A")</f>
        <v>✅ Under Budget</v>
      </c>
    </row>
    <row r="60" customFormat="false" ht="15" hidden="false" customHeight="false" outlineLevel="0" collapsed="false">
      <c r="A60" s="24" t="n">
        <v>46142</v>
      </c>
      <c r="B60" s="16" t="s">
        <v>95</v>
      </c>
      <c r="C60" s="25" t="s">
        <v>96</v>
      </c>
      <c r="D60" s="26" t="n">
        <v>0.88</v>
      </c>
      <c r="E60" s="16" t="s">
        <v>96</v>
      </c>
      <c r="F60" s="26" t="n">
        <v>0</v>
      </c>
      <c r="G60" s="26" t="n">
        <v>0</v>
      </c>
      <c r="H60" s="26" t="n">
        <v>138.81</v>
      </c>
      <c r="I60" s="17" t="n">
        <f aca="false">IFERROR(VLOOKUP(E60,Categories!$A:$B,2,FALSE()),0)</f>
        <v>0</v>
      </c>
      <c r="J60" s="19" t="str">
        <f aca="false">IFERROR(IF(I60=0,"N/A",IF(G60&gt;I60,"🔴 Over Budget","✅ Under Budget")),"N/A")</f>
        <v>N/A</v>
      </c>
    </row>
    <row r="61" customFormat="false" ht="15" hidden="false" customHeight="false" outlineLevel="0" collapsed="false">
      <c r="A61" s="27" t="n">
        <v>46142</v>
      </c>
      <c r="B61" s="12" t="s">
        <v>97</v>
      </c>
      <c r="C61" s="28" t="s">
        <v>71</v>
      </c>
      <c r="D61" s="29" t="n">
        <v>0</v>
      </c>
      <c r="E61" s="12" t="s">
        <v>32</v>
      </c>
      <c r="F61" s="29" t="n">
        <v>7.5</v>
      </c>
      <c r="G61" s="29" t="n">
        <v>0</v>
      </c>
      <c r="H61" s="29" t="n">
        <v>131.31</v>
      </c>
      <c r="I61" s="13" t="n">
        <f aca="false">IFERROR(VLOOKUP(E61,Categories!$A:$B,2,FALSE()),0)</f>
        <v>200</v>
      </c>
      <c r="J61" s="15" t="str">
        <f aca="false">IFERROR(IF(I61=0,"N/A",IF(G61&gt;I61,"🔴 Over Budget","✅ Under Budget")),"N/A")</f>
        <v>✅ Under Budget</v>
      </c>
    </row>
    <row r="62" customFormat="false" ht="15" hidden="false" customHeight="false" outlineLevel="0" collapsed="false">
      <c r="A62" s="24" t="n">
        <v>46143</v>
      </c>
      <c r="B62" s="16" t="s">
        <v>98</v>
      </c>
      <c r="C62" s="25" t="s">
        <v>88</v>
      </c>
      <c r="D62" s="26" t="n">
        <v>0</v>
      </c>
      <c r="E62" s="16" t="s">
        <v>25</v>
      </c>
      <c r="F62" s="26" t="n">
        <v>2</v>
      </c>
      <c r="G62" s="26" t="n">
        <v>51.99</v>
      </c>
      <c r="H62" s="26" t="n">
        <v>77.32</v>
      </c>
      <c r="I62" s="17" t="n">
        <f aca="false">IFERROR(VLOOKUP(E62,Categories!$A:$B,2,FALSE()),0)</f>
        <v>400</v>
      </c>
      <c r="J62" s="19" t="str">
        <f aca="false">IFERROR(IF(I62=0,"N/A",IF(G62&gt;I62,"🔴 Over Budget","✅ Under Budget")),"N/A")</f>
        <v>✅ Under Budget</v>
      </c>
    </row>
    <row r="63" customFormat="false" ht="15" hidden="false" customHeight="false" outlineLevel="0" collapsed="false">
      <c r="A63" s="27" t="n">
        <v>46144</v>
      </c>
      <c r="B63" s="12" t="s">
        <v>55</v>
      </c>
      <c r="C63" s="28" t="s">
        <v>34</v>
      </c>
      <c r="D63" s="29" t="n">
        <v>0</v>
      </c>
      <c r="E63" s="12" t="s">
        <v>34</v>
      </c>
      <c r="F63" s="29" t="n">
        <v>8.01</v>
      </c>
      <c r="G63" s="29" t="n">
        <v>0</v>
      </c>
      <c r="H63" s="29" t="n">
        <v>69.31</v>
      </c>
      <c r="I63" s="13" t="n">
        <f aca="false">IFERROR(VLOOKUP(E63,Categories!$A:$B,2,FALSE()),0)</f>
        <v>500</v>
      </c>
      <c r="J63" s="15" t="str">
        <f aca="false">IFERROR(IF(I63=0,"N/A",IF(G63&gt;I63,"🔴 Over Budget","✅ Under Budget")),"N/A")</f>
        <v>✅ Under Budget</v>
      </c>
    </row>
    <row r="64" customFormat="false" ht="15" hidden="false" customHeight="false" outlineLevel="0" collapsed="false">
      <c r="A64" s="24" t="n">
        <v>46151</v>
      </c>
      <c r="B64" s="16" t="s">
        <v>99</v>
      </c>
      <c r="C64" s="25" t="s">
        <v>75</v>
      </c>
      <c r="D64" s="26" t="n">
        <v>3560</v>
      </c>
      <c r="E64" s="16" t="s">
        <v>76</v>
      </c>
      <c r="F64" s="26" t="n">
        <v>49.84</v>
      </c>
      <c r="G64" s="26" t="n">
        <v>0</v>
      </c>
      <c r="H64" s="26" t="n">
        <v>3579.47</v>
      </c>
      <c r="I64" s="17" t="n">
        <f aca="false">IFERROR(VLOOKUP(E64,Categories!$A:$B,2,FALSE()),0)</f>
        <v>0</v>
      </c>
      <c r="J64" s="19" t="str">
        <f aca="false">IFERROR(IF(I64=0,"N/A",IF(G64&gt;I64,"🔴 Over Budget","✅ Under Budget")),"N/A")</f>
        <v>N/A</v>
      </c>
    </row>
    <row r="65" customFormat="false" ht="15" hidden="false" customHeight="false" outlineLevel="0" collapsed="false">
      <c r="A65" s="27" t="n">
        <v>46152</v>
      </c>
      <c r="B65" s="12" t="s">
        <v>77</v>
      </c>
      <c r="C65" s="28" t="s">
        <v>78</v>
      </c>
      <c r="D65" s="29" t="n">
        <v>0</v>
      </c>
      <c r="E65" s="12" t="s">
        <v>33</v>
      </c>
      <c r="F65" s="29" t="n">
        <v>2</v>
      </c>
      <c r="G65" s="29" t="n">
        <v>1000</v>
      </c>
      <c r="H65" s="29" t="n">
        <v>2577.47</v>
      </c>
      <c r="I65" s="13" t="n">
        <f aca="false">IFERROR(VLOOKUP(E65,Categories!$A:$B,2,FALSE()),0)</f>
        <v>500</v>
      </c>
      <c r="J65" s="15" t="str">
        <f aca="false">IFERROR(IF(I65=0,"N/A",IF(G65&gt;I65,"🔴 Over Budget","✅ Under Budget")),"N/A")</f>
        <v>🔴 Over Budget</v>
      </c>
    </row>
    <row r="66" customFormat="false" ht="15" hidden="false" customHeight="false" outlineLevel="0" collapsed="false">
      <c r="A66" s="24" t="n">
        <v>46152</v>
      </c>
      <c r="B66" s="16" t="s">
        <v>79</v>
      </c>
      <c r="C66" s="25" t="s">
        <v>71</v>
      </c>
      <c r="D66" s="26" t="n">
        <v>0</v>
      </c>
      <c r="E66" s="16" t="s">
        <v>32</v>
      </c>
      <c r="F66" s="26" t="n">
        <v>0.35</v>
      </c>
      <c r="G66" s="26" t="n">
        <v>0</v>
      </c>
      <c r="H66" s="26" t="n">
        <v>2577.12</v>
      </c>
      <c r="I66" s="17" t="n">
        <f aca="false">IFERROR(VLOOKUP(E66,Categories!$A:$B,2,FALSE()),0)</f>
        <v>200</v>
      </c>
      <c r="J66" s="19" t="str">
        <f aca="false">IFERROR(IF(I66=0,"N/A",IF(G66&gt;I66,"🔴 Over Budget","✅ Under Budget")),"N/A")</f>
        <v>✅ Under Budget</v>
      </c>
    </row>
    <row r="67" customFormat="false" ht="15" hidden="false" customHeight="false" outlineLevel="0" collapsed="false">
      <c r="A67" s="27" t="n">
        <v>46153</v>
      </c>
      <c r="B67" s="12" t="s">
        <v>69</v>
      </c>
      <c r="C67" s="28" t="s">
        <v>67</v>
      </c>
      <c r="D67" s="29" t="n">
        <v>0</v>
      </c>
      <c r="E67" s="12" t="s">
        <v>29</v>
      </c>
      <c r="F67" s="29" t="n">
        <v>0.5</v>
      </c>
      <c r="G67" s="29" t="n">
        <v>25</v>
      </c>
      <c r="H67" s="29" t="n">
        <v>2551.62</v>
      </c>
      <c r="I67" s="13" t="n">
        <f aca="false">IFERROR(VLOOKUP(E67,Categories!$A:$B,2,FALSE()),0)</f>
        <v>200</v>
      </c>
      <c r="J67" s="15" t="str">
        <f aca="false">IFERROR(IF(I67=0,"N/A",IF(G67&gt;I67,"🔴 Over Budget","✅ Under Budget")),"N/A")</f>
        <v>✅ Under Budget</v>
      </c>
    </row>
    <row r="68" customFormat="false" ht="15" hidden="false" customHeight="false" outlineLevel="0" collapsed="false">
      <c r="A68" s="24" t="n">
        <v>46154</v>
      </c>
      <c r="B68" s="16" t="s">
        <v>100</v>
      </c>
      <c r="C68" s="25" t="s">
        <v>88</v>
      </c>
      <c r="D68" s="26" t="n">
        <v>0</v>
      </c>
      <c r="E68" s="16" t="s">
        <v>23</v>
      </c>
      <c r="F68" s="26" t="n">
        <v>0</v>
      </c>
      <c r="G68" s="26" t="n">
        <v>179.9</v>
      </c>
      <c r="H68" s="26" t="n">
        <v>2371.72</v>
      </c>
      <c r="I68" s="17" t="n">
        <f aca="false">IFERROR(VLOOKUP(E68,Categories!$A:$B,2,FALSE()),0)</f>
        <v>400</v>
      </c>
      <c r="J68" s="19" t="str">
        <f aca="false">IFERROR(IF(I68=0,"N/A",IF(G68&gt;I68,"🔴 Over Budget","✅ Under Budget")),"N/A")</f>
        <v>✅ Under Budget</v>
      </c>
    </row>
    <row r="69" customFormat="false" ht="15" hidden="false" customHeight="false" outlineLevel="0" collapsed="false">
      <c r="A69" s="27" t="n">
        <v>46154</v>
      </c>
      <c r="B69" s="12" t="s">
        <v>101</v>
      </c>
      <c r="C69" s="28" t="s">
        <v>50</v>
      </c>
      <c r="D69" s="29" t="n">
        <v>0</v>
      </c>
      <c r="E69" s="12" t="s">
        <v>19</v>
      </c>
      <c r="F69" s="29" t="n">
        <v>0</v>
      </c>
      <c r="G69" s="29" t="n">
        <v>139.8</v>
      </c>
      <c r="H69" s="29" t="n">
        <v>2231.92</v>
      </c>
      <c r="I69" s="13" t="n">
        <f aca="false">IFERROR(VLOOKUP(E69,Categories!$A:$B,2,FALSE()),0)</f>
        <v>1500</v>
      </c>
      <c r="J69" s="15" t="str">
        <f aca="false">IFERROR(IF(I69=0,"N/A",IF(G69&gt;I69,"🔴 Over Budget","✅ Under Budget")),"N/A")</f>
        <v>✅ Under Budget</v>
      </c>
    </row>
    <row r="70" customFormat="false" ht="15" hidden="false" customHeight="false" outlineLevel="0" collapsed="false">
      <c r="A70" s="24" t="n">
        <v>46154</v>
      </c>
      <c r="B70" s="16" t="s">
        <v>102</v>
      </c>
      <c r="C70" s="25" t="s">
        <v>50</v>
      </c>
      <c r="D70" s="26" t="n">
        <v>0</v>
      </c>
      <c r="E70" s="16" t="s">
        <v>19</v>
      </c>
      <c r="F70" s="26" t="n">
        <v>0</v>
      </c>
      <c r="G70" s="26" t="n">
        <v>45</v>
      </c>
      <c r="H70" s="26" t="n">
        <v>2186.92</v>
      </c>
      <c r="I70" s="17" t="n">
        <f aca="false">IFERROR(VLOOKUP(E70,Categories!$A:$B,2,FALSE()),0)</f>
        <v>1500</v>
      </c>
      <c r="J70" s="19" t="str">
        <f aca="false">IFERROR(IF(I70=0,"N/A",IF(G70&gt;I70,"🔴 Over Budget","✅ Under Budget")),"N/A")</f>
        <v>✅ Under Budget</v>
      </c>
    </row>
    <row r="71" customFormat="false" ht="15" hidden="false" customHeight="false" outlineLevel="0" collapsed="false">
      <c r="A71" s="27" t="n">
        <v>46155</v>
      </c>
      <c r="B71" s="12" t="s">
        <v>103</v>
      </c>
      <c r="C71" s="28" t="s">
        <v>50</v>
      </c>
      <c r="D71" s="29" t="n">
        <v>0</v>
      </c>
      <c r="E71" s="12" t="s">
        <v>24</v>
      </c>
      <c r="F71" s="29" t="n">
        <v>0</v>
      </c>
      <c r="G71" s="29" t="n">
        <v>109</v>
      </c>
      <c r="H71" s="29" t="n">
        <v>2077.92</v>
      </c>
      <c r="I71" s="13" t="n">
        <f aca="false">IFERROR(VLOOKUP(E71,Categories!$A:$B,2,FALSE()),0)</f>
        <v>500</v>
      </c>
      <c r="J71" s="15" t="str">
        <f aca="false">IFERROR(IF(I71=0,"N/A",IF(G71&gt;I71,"🔴 Over Budget","✅ Under Budget")),"N/A")</f>
        <v>✅ Under Budget</v>
      </c>
    </row>
    <row r="72" customFormat="false" ht="15" hidden="false" customHeight="false" outlineLevel="0" collapsed="false">
      <c r="A72" s="24" t="n">
        <v>46155</v>
      </c>
      <c r="B72" s="16" t="s">
        <v>104</v>
      </c>
      <c r="C72" s="25" t="s">
        <v>50</v>
      </c>
      <c r="D72" s="26" t="n">
        <v>0</v>
      </c>
      <c r="E72" s="16" t="s">
        <v>23</v>
      </c>
      <c r="F72" s="26" t="n">
        <v>0</v>
      </c>
      <c r="G72" s="26" t="n">
        <v>120</v>
      </c>
      <c r="H72" s="26" t="n">
        <v>1957.92</v>
      </c>
      <c r="I72" s="17" t="n">
        <f aca="false">IFERROR(VLOOKUP(E72,Categories!$A:$B,2,FALSE()),0)</f>
        <v>400</v>
      </c>
      <c r="J72" s="19" t="str">
        <f aca="false">IFERROR(IF(I72=0,"N/A",IF(G72&gt;I72,"🔴 Over Budget","✅ Under Budget")),"N/A")</f>
        <v>✅ Under Budget</v>
      </c>
    </row>
    <row r="73" customFormat="false" ht="15" hidden="false" customHeight="false" outlineLevel="0" collapsed="false">
      <c r="A73" s="27" t="n">
        <v>46155</v>
      </c>
      <c r="B73" s="12" t="s">
        <v>84</v>
      </c>
      <c r="C73" s="28" t="s">
        <v>50</v>
      </c>
      <c r="D73" s="29" t="n">
        <v>0</v>
      </c>
      <c r="E73" s="12" t="s">
        <v>19</v>
      </c>
      <c r="F73" s="29" t="n">
        <v>0</v>
      </c>
      <c r="G73" s="29" t="n">
        <v>19.9</v>
      </c>
      <c r="H73" s="29" t="n">
        <v>1938.02</v>
      </c>
      <c r="I73" s="13" t="n">
        <f aca="false">IFERROR(VLOOKUP(E73,Categories!$A:$B,2,FALSE()),0)</f>
        <v>1500</v>
      </c>
      <c r="J73" s="15" t="str">
        <f aca="false">IFERROR(IF(I73=0,"N/A",IF(G73&gt;I73,"🔴 Over Budget","✅ Under Budget")),"N/A")</f>
        <v>✅ Under Budget</v>
      </c>
    </row>
    <row r="74" customFormat="false" ht="15" hidden="false" customHeight="false" outlineLevel="0" collapsed="false">
      <c r="A74" s="24" t="n">
        <v>46155</v>
      </c>
      <c r="B74" s="16" t="s">
        <v>55</v>
      </c>
      <c r="C74" s="25" t="s">
        <v>34</v>
      </c>
      <c r="D74" s="26" t="n">
        <v>0</v>
      </c>
      <c r="E74" s="16" t="s">
        <v>34</v>
      </c>
      <c r="F74" s="26" t="n">
        <v>5.3</v>
      </c>
      <c r="G74" s="26" t="n">
        <v>0</v>
      </c>
      <c r="H74" s="26" t="n">
        <v>1932.72</v>
      </c>
      <c r="I74" s="17" t="n">
        <f aca="false">IFERROR(VLOOKUP(E74,Categories!$A:$B,2,FALSE()),0)</f>
        <v>500</v>
      </c>
      <c r="J74" s="19" t="str">
        <f aca="false">IFERROR(IF(I74=0,"N/A",IF(G74&gt;I74,"🔴 Over Budget","✅ Under Budget")),"N/A")</f>
        <v>✅ Under Budget</v>
      </c>
    </row>
  </sheetData>
  <conditionalFormatting sqref="G2:G200">
    <cfRule type="cellIs" priority="2" operator="greaterThan" aboveAverage="0" equalAverage="0" bottom="0" percent="0" rank="0" text="" dxfId="0">
      <formula>500</formula>
    </cfRule>
  </conditionalFormatting>
  <conditionalFormatting sqref="H2:H200">
    <cfRule type="cellIs" priority="3" operator="lessThan" aboveAverage="0" equalAverage="0" bottom="0" percent="0" rank="0" text="" dxfId="1">
      <formula>200</formula>
    </cfRule>
  </conditionalFormatting>
  <dataValidations count="1">
    <dataValidation allowBlank="true" errorStyle="stop" operator="between" showDropDown="false" showErrorMessage="false" showInputMessage="false" sqref="E2:E200" type="list">
      <formula1>Categories!$A$2:$A$20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30" t="s">
        <v>13</v>
      </c>
      <c r="B1" s="30" t="s">
        <v>105</v>
      </c>
    </row>
    <row r="2" customFormat="false" ht="15" hidden="false" customHeight="false" outlineLevel="0" collapsed="false">
      <c r="A2" s="31" t="s">
        <v>19</v>
      </c>
      <c r="B2" s="32" t="n">
        <v>1500</v>
      </c>
    </row>
    <row r="3" customFormat="false" ht="15" hidden="false" customHeight="false" outlineLevel="0" collapsed="false">
      <c r="A3" s="31" t="s">
        <v>20</v>
      </c>
      <c r="B3" s="32" t="n">
        <v>800</v>
      </c>
    </row>
    <row r="4" customFormat="false" ht="15" hidden="false" customHeight="false" outlineLevel="0" collapsed="false">
      <c r="A4" s="31" t="s">
        <v>21</v>
      </c>
      <c r="B4" s="32" t="n">
        <v>600</v>
      </c>
    </row>
    <row r="5" customFormat="false" ht="15" hidden="false" customHeight="false" outlineLevel="0" collapsed="false">
      <c r="A5" s="31" t="s">
        <v>22</v>
      </c>
      <c r="B5" s="32" t="n">
        <v>800</v>
      </c>
    </row>
    <row r="6" customFormat="false" ht="15" hidden="false" customHeight="false" outlineLevel="0" collapsed="false">
      <c r="A6" s="31" t="s">
        <v>23</v>
      </c>
      <c r="B6" s="32" t="n">
        <v>400</v>
      </c>
    </row>
    <row r="7" customFormat="false" ht="15" hidden="false" customHeight="false" outlineLevel="0" collapsed="false">
      <c r="A7" s="31" t="s">
        <v>24</v>
      </c>
      <c r="B7" s="32" t="n">
        <v>500</v>
      </c>
    </row>
    <row r="8" customFormat="false" ht="15" hidden="false" customHeight="false" outlineLevel="0" collapsed="false">
      <c r="A8" s="31" t="s">
        <v>25</v>
      </c>
      <c r="B8" s="32" t="n">
        <v>400</v>
      </c>
    </row>
    <row r="9" customFormat="false" ht="15" hidden="false" customHeight="false" outlineLevel="0" collapsed="false">
      <c r="A9" s="31" t="s">
        <v>26</v>
      </c>
      <c r="B9" s="32" t="n">
        <v>300</v>
      </c>
    </row>
    <row r="10" customFormat="false" ht="15" hidden="false" customHeight="false" outlineLevel="0" collapsed="false">
      <c r="A10" s="31" t="s">
        <v>27</v>
      </c>
      <c r="B10" s="32" t="n">
        <v>500</v>
      </c>
    </row>
    <row r="11" customFormat="false" ht="15" hidden="false" customHeight="false" outlineLevel="0" collapsed="false">
      <c r="A11" s="31" t="s">
        <v>28</v>
      </c>
      <c r="B11" s="32" t="n">
        <v>400</v>
      </c>
    </row>
    <row r="12" customFormat="false" ht="15" hidden="false" customHeight="false" outlineLevel="0" collapsed="false">
      <c r="A12" s="31" t="s">
        <v>29</v>
      </c>
      <c r="B12" s="32" t="n">
        <v>200</v>
      </c>
    </row>
    <row r="13" customFormat="false" ht="15" hidden="false" customHeight="false" outlineLevel="0" collapsed="false">
      <c r="A13" s="31" t="s">
        <v>30</v>
      </c>
      <c r="B13" s="32" t="n">
        <v>200</v>
      </c>
    </row>
    <row r="14" customFormat="false" ht="15" hidden="false" customHeight="false" outlineLevel="0" collapsed="false">
      <c r="A14" s="31" t="s">
        <v>31</v>
      </c>
      <c r="B14" s="32" t="n">
        <v>300</v>
      </c>
    </row>
    <row r="15" customFormat="false" ht="15" hidden="false" customHeight="false" outlineLevel="0" collapsed="false">
      <c r="A15" s="31" t="s">
        <v>32</v>
      </c>
      <c r="B15" s="32" t="n">
        <v>200</v>
      </c>
    </row>
    <row r="16" customFormat="false" ht="15" hidden="false" customHeight="false" outlineLevel="0" collapsed="false">
      <c r="A16" s="31" t="s">
        <v>33</v>
      </c>
      <c r="B16" s="32" t="n">
        <v>500</v>
      </c>
    </row>
    <row r="17" customFormat="false" ht="15" hidden="false" customHeight="false" outlineLevel="0" collapsed="false">
      <c r="A17" s="31" t="s">
        <v>34</v>
      </c>
      <c r="B17" s="32" t="n">
        <v>500</v>
      </c>
    </row>
    <row r="18" customFormat="false" ht="15" hidden="false" customHeight="false" outlineLevel="0" collapsed="false">
      <c r="A18" s="31" t="s">
        <v>58</v>
      </c>
      <c r="B18" s="32" t="n">
        <v>0</v>
      </c>
    </row>
    <row r="19" customFormat="false" ht="15" hidden="false" customHeight="false" outlineLevel="0" collapsed="false">
      <c r="A19" s="31" t="s">
        <v>76</v>
      </c>
      <c r="B19" s="32" t="n">
        <v>0</v>
      </c>
    </row>
    <row r="20" customFormat="false" ht="15" hidden="false" customHeight="false" outlineLevel="0" collapsed="false">
      <c r="A20" s="31" t="s">
        <v>96</v>
      </c>
      <c r="B20" s="3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8"/>
    <col collapsed="false" customWidth="true" hidden="false" outlineLevel="0" max="5" min="5" style="0" width="15"/>
  </cols>
  <sheetData>
    <row r="1" customFormat="false" ht="17.35" hidden="false" customHeight="true" outlineLevel="0" collapsed="false">
      <c r="A1" s="33" t="s">
        <v>106</v>
      </c>
      <c r="B1" s="33"/>
      <c r="C1" s="33"/>
      <c r="D1" s="33"/>
      <c r="E1" s="33"/>
    </row>
    <row r="2" customFormat="false" ht="15" hidden="false" customHeight="false" outlineLevel="0" collapsed="false">
      <c r="A2" s="34" t="s">
        <v>107</v>
      </c>
      <c r="B2" s="34" t="s">
        <v>108</v>
      </c>
      <c r="C2" s="34" t="s">
        <v>109</v>
      </c>
      <c r="D2" s="34" t="s">
        <v>16</v>
      </c>
      <c r="E2" s="34" t="s">
        <v>110</v>
      </c>
    </row>
    <row r="3" customFormat="false" ht="15" hidden="false" customHeight="false" outlineLevel="0" collapsed="false">
      <c r="A3" s="35" t="s">
        <v>111</v>
      </c>
      <c r="B3" s="29" t="n">
        <v>15000</v>
      </c>
      <c r="C3" s="29" t="n">
        <v>4000</v>
      </c>
      <c r="D3" s="13" t="n">
        <f aca="false">B3-C3</f>
        <v>11000</v>
      </c>
      <c r="E3" s="14" t="n">
        <f aca="false">IFERROR(C3/B3,0)</f>
        <v>0.266666666666667</v>
      </c>
    </row>
    <row r="4" customFormat="false" ht="15" hidden="false" customHeight="false" outlineLevel="0" collapsed="false">
      <c r="A4" s="36" t="s">
        <v>112</v>
      </c>
      <c r="B4" s="26" t="n">
        <v>8000</v>
      </c>
      <c r="C4" s="26" t="n">
        <v>2000</v>
      </c>
      <c r="D4" s="17" t="n">
        <f aca="false">B4-C4</f>
        <v>6000</v>
      </c>
      <c r="E4" s="18" t="n">
        <f aca="false">IFERROR(C4/B4,0)</f>
        <v>0.25</v>
      </c>
    </row>
    <row r="5" customFormat="false" ht="15" hidden="false" customHeight="false" outlineLevel="0" collapsed="false">
      <c r="A5" s="35" t="s">
        <v>113</v>
      </c>
      <c r="B5" s="29" t="n">
        <v>10000</v>
      </c>
      <c r="C5" s="29" t="n">
        <v>3500</v>
      </c>
      <c r="D5" s="13" t="n">
        <f aca="false">B5-C5</f>
        <v>6500</v>
      </c>
      <c r="E5" s="14" t="n">
        <f aca="false">IFERROR(C5/B5,0)</f>
        <v>0.35</v>
      </c>
    </row>
    <row r="6" customFormat="false" ht="15" hidden="false" customHeight="false" outlineLevel="0" collapsed="false">
      <c r="A6" s="36" t="s">
        <v>114</v>
      </c>
      <c r="B6" s="26" t="n">
        <v>5000</v>
      </c>
      <c r="C6" s="26" t="n">
        <v>1200</v>
      </c>
      <c r="D6" s="17" t="n">
        <f aca="false">B6-C6</f>
        <v>3800</v>
      </c>
      <c r="E6" s="18" t="n">
        <f aca="false">IFERROR(C6/B6,0)</f>
        <v>0.24</v>
      </c>
    </row>
    <row r="7" customFormat="false" ht="15" hidden="false" customHeight="false" outlineLevel="0" collapsed="false">
      <c r="A7" s="35" t="s">
        <v>115</v>
      </c>
      <c r="B7" s="29" t="n">
        <v>3000</v>
      </c>
      <c r="C7" s="29" t="n">
        <v>900</v>
      </c>
      <c r="D7" s="13" t="n">
        <f aca="false">B7-C7</f>
        <v>2100</v>
      </c>
      <c r="E7" s="14" t="n">
        <f aca="false">IFERROR(C7/B7,0)</f>
        <v>0.3</v>
      </c>
    </row>
  </sheetData>
  <mergeCells count="1">
    <mergeCell ref="A1:E1"/>
  </mergeCells>
  <conditionalFormatting sqref="E3:E20">
    <cfRule type="cellIs" priority="2" operator="greaterThanOrEqual" aboveAverage="0" equalAverage="0" bottom="0" percent="0" rank="0" text="" dxfId="2">
      <formula>0.5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8"/>
  </cols>
  <sheetData>
    <row r="1" customFormat="false" ht="15" hidden="false" customHeight="false" outlineLevel="0" collapsed="false">
      <c r="A1" s="37" t="s">
        <v>13</v>
      </c>
      <c r="B1" s="37" t="s">
        <v>116</v>
      </c>
      <c r="C1" s="37" t="s">
        <v>117</v>
      </c>
    </row>
    <row r="2" customFormat="false" ht="15" hidden="false" customHeight="false" outlineLevel="0" collapsed="false">
      <c r="A2" s="36" t="s">
        <v>19</v>
      </c>
      <c r="B2" s="26" t="n">
        <v>1500</v>
      </c>
      <c r="C2" s="38" t="n">
        <f aca="false">IFERROR(SUMIF(Transactions!E:E,A2,Transactions!G:G),0)</f>
        <v>1015.5</v>
      </c>
    </row>
    <row r="3" customFormat="false" ht="15" hidden="false" customHeight="false" outlineLevel="0" collapsed="false">
      <c r="A3" s="35" t="s">
        <v>20</v>
      </c>
      <c r="B3" s="29" t="n">
        <v>800</v>
      </c>
      <c r="C3" s="38" t="n">
        <f aca="false">IFERROR(SUMIF(Transactions!E:E,A3,Transactions!G:G),0)</f>
        <v>113.5</v>
      </c>
    </row>
    <row r="4" customFormat="false" ht="15" hidden="false" customHeight="false" outlineLevel="0" collapsed="false">
      <c r="A4" s="36" t="s">
        <v>21</v>
      </c>
      <c r="B4" s="26" t="n">
        <v>600</v>
      </c>
      <c r="C4" s="38" t="n">
        <f aca="false">IFERROR(SUMIF(Transactions!E:E,A4,Transactions!G:G),0)</f>
        <v>382</v>
      </c>
    </row>
    <row r="5" customFormat="false" ht="15" hidden="false" customHeight="false" outlineLevel="0" collapsed="false">
      <c r="A5" s="35" t="s">
        <v>22</v>
      </c>
      <c r="B5" s="29" t="n">
        <v>800</v>
      </c>
      <c r="C5" s="38" t="n">
        <f aca="false">IFERROR(SUMIF(Transactions!E:E,A5,Transactions!G:G),0)</f>
        <v>660</v>
      </c>
    </row>
    <row r="6" customFormat="false" ht="15" hidden="false" customHeight="false" outlineLevel="0" collapsed="false">
      <c r="A6" s="36" t="s">
        <v>23</v>
      </c>
      <c r="B6" s="26" t="n">
        <v>400</v>
      </c>
      <c r="C6" s="38" t="n">
        <f aca="false">IFERROR(SUMIF(Transactions!E:E,A6,Transactions!G:G),0)</f>
        <v>299.9</v>
      </c>
    </row>
    <row r="7" customFormat="false" ht="15" hidden="false" customHeight="false" outlineLevel="0" collapsed="false">
      <c r="A7" s="35" t="s">
        <v>24</v>
      </c>
      <c r="B7" s="29" t="n">
        <v>500</v>
      </c>
      <c r="C7" s="38" t="n">
        <f aca="false">IFERROR(SUMIF(Transactions!E:E,A7,Transactions!G:G),0)</f>
        <v>199</v>
      </c>
    </row>
    <row r="8" customFormat="false" ht="15" hidden="false" customHeight="false" outlineLevel="0" collapsed="false">
      <c r="A8" s="36" t="s">
        <v>25</v>
      </c>
      <c r="B8" s="26" t="n">
        <v>400</v>
      </c>
      <c r="C8" s="38" t="n">
        <f aca="false">IFERROR(SUMIF(Transactions!E:E,A8,Transactions!G:G),0)</f>
        <v>130.99</v>
      </c>
    </row>
    <row r="9" customFormat="false" ht="15" hidden="false" customHeight="false" outlineLevel="0" collapsed="false">
      <c r="A9" s="35" t="s">
        <v>26</v>
      </c>
      <c r="B9" s="29" t="n">
        <v>300</v>
      </c>
      <c r="C9" s="38" t="n">
        <f aca="false">IFERROR(SUMIF(Transactions!E:E,A9,Transactions!G:G),0)</f>
        <v>175</v>
      </c>
    </row>
    <row r="10" customFormat="false" ht="15" hidden="false" customHeight="false" outlineLevel="0" collapsed="false">
      <c r="A10" s="36" t="s">
        <v>27</v>
      </c>
      <c r="B10" s="26" t="n">
        <v>500</v>
      </c>
      <c r="C10" s="38" t="n">
        <f aca="false">IFERROR(SUMIF(Transactions!E:E,A10,Transactions!G:G),0)</f>
        <v>495</v>
      </c>
    </row>
    <row r="11" customFormat="false" ht="15" hidden="false" customHeight="false" outlineLevel="0" collapsed="false">
      <c r="A11" s="35" t="s">
        <v>28</v>
      </c>
      <c r="B11" s="29" t="n">
        <v>400</v>
      </c>
      <c r="C11" s="38" t="n">
        <f aca="false">IFERROR(SUMIF(Transactions!E:E,A11,Transactions!G:G),0)</f>
        <v>275</v>
      </c>
    </row>
    <row r="12" customFormat="false" ht="15" hidden="false" customHeight="false" outlineLevel="0" collapsed="false">
      <c r="A12" s="36" t="s">
        <v>29</v>
      </c>
      <c r="B12" s="26" t="n">
        <v>200</v>
      </c>
      <c r="C12" s="38" t="n">
        <f aca="false">IFERROR(SUMIF(Transactions!E:E,A12,Transactions!G:G),0)</f>
        <v>65</v>
      </c>
    </row>
    <row r="13" customFormat="false" ht="15" hidden="false" customHeight="false" outlineLevel="0" collapsed="false">
      <c r="A13" s="35" t="s">
        <v>30</v>
      </c>
      <c r="B13" s="29" t="n">
        <v>200</v>
      </c>
      <c r="C13" s="38" t="n">
        <f aca="false">IFERROR(SUMIF(Transactions!E:E,A13,Transactions!G:G),0)</f>
        <v>29.99</v>
      </c>
    </row>
    <row r="14" customFormat="false" ht="15" hidden="false" customHeight="false" outlineLevel="0" collapsed="false">
      <c r="A14" s="36" t="s">
        <v>31</v>
      </c>
      <c r="B14" s="26" t="n">
        <v>300</v>
      </c>
      <c r="C14" s="38" t="n">
        <f aca="false">IFERROR(SUMIF(Transactions!E:E,A14,Transactions!G:G),0)</f>
        <v>20.5</v>
      </c>
    </row>
    <row r="15" customFormat="false" ht="15" hidden="false" customHeight="false" outlineLevel="0" collapsed="false">
      <c r="A15" s="35" t="s">
        <v>32</v>
      </c>
      <c r="B15" s="29" t="n">
        <v>200</v>
      </c>
      <c r="C15" s="38" t="n">
        <f aca="false">IFERROR(SUMIF(Transactions!E:E,A15,Transactions!G:G),0)</f>
        <v>0</v>
      </c>
    </row>
    <row r="16" customFormat="false" ht="15" hidden="false" customHeight="false" outlineLevel="0" collapsed="false">
      <c r="A16" s="36" t="s">
        <v>33</v>
      </c>
      <c r="B16" s="26" t="n">
        <v>500</v>
      </c>
      <c r="C16" s="38" t="n">
        <f aca="false">IFERROR(SUMIF(Transactions!E:E,A16,Transactions!G:G),0)</f>
        <v>1570</v>
      </c>
    </row>
    <row r="17" customFormat="false" ht="15" hidden="false" customHeight="false" outlineLevel="0" collapsed="false">
      <c r="A17" s="35" t="s">
        <v>34</v>
      </c>
      <c r="B17" s="29" t="n">
        <v>500</v>
      </c>
      <c r="C17" s="38" t="n">
        <f aca="false">IFERROR(SUMIF(Transactions!E:E,A17,Transactions!G:G),0)</f>
        <v>0</v>
      </c>
    </row>
    <row r="18" customFormat="false" ht="15" hidden="false" customHeight="false" outlineLevel="0" collapsed="false">
      <c r="A18" s="36" t="s">
        <v>58</v>
      </c>
      <c r="B18" s="26" t="n">
        <v>0</v>
      </c>
      <c r="C18" s="38" t="n">
        <f aca="false">IFERROR(SUMIF(Transactions!E:E,A18,Transactions!G:G),0)</f>
        <v>0</v>
      </c>
    </row>
    <row r="19" customFormat="false" ht="15" hidden="false" customHeight="false" outlineLevel="0" collapsed="false">
      <c r="A19" s="35" t="s">
        <v>76</v>
      </c>
      <c r="B19" s="29" t="n">
        <v>0</v>
      </c>
      <c r="C19" s="38" t="n">
        <f aca="false">IFERROR(SUMIF(Transactions!E:E,A19,Transactions!G:G),0)</f>
        <v>0</v>
      </c>
    </row>
    <row r="20" customFormat="false" ht="15" hidden="false" customHeight="false" outlineLevel="0" collapsed="false">
      <c r="A20" s="36" t="s">
        <v>96</v>
      </c>
      <c r="B20" s="26" t="n">
        <v>0</v>
      </c>
      <c r="C20" s="38" t="n">
        <f aca="false">IFERROR(SUMIF(Transactions!E:E,A20,Transactions!G:G),0)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2026-05-13T13:47:18Z</dcterms:created>
  <dc:creator>openpyxl</dc:creator>
  <dc:description/>
  <dc:language>en-US</dc:language>
  <cp:lastModifiedBy/>
  <dcterms:modified xsi:type="dcterms:W3CDTF">2026-05-13T13:47:18Z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